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40" yWindow="1395" windowWidth="28455" windowHeight="17745" tabRatio="600" firstSheet="0" activeTab="0" autoFilterDateGrouping="1"/>
    <workbookView visibility="visible" minimized="0" showHorizontalScroll="1" showVerticalScroll="1" showSheetTabs="1" xWindow="51480" yWindow="355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"/>
    <numFmt numFmtId="166" formatCode="yyyy\-mm\-dd\ hh:mm:ss"/>
    <numFmt numFmtId="167" formatCode="YYYY-MM-DD HH:MM:SS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4" fontId="1" fillId="0" borderId="0"/>
    <xf numFmtId="9" fontId="1" fillId="0" borderId="0"/>
  </cellStyleXfs>
  <cellXfs count="5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164" fontId="3" fillId="3" borderId="10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0" fontId="4" fillId="4" borderId="20" applyAlignment="1" pivotButton="0" quotePrefix="0" xfId="0">
      <alignment horizontal="center"/>
    </xf>
    <xf numFmtId="166" fontId="0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23" applyAlignment="1" pivotButton="0" quotePrefix="0" xfId="0">
      <alignment horizontal="center"/>
    </xf>
    <xf numFmtId="0" fontId="3" fillId="0" borderId="21" applyAlignment="1" pivotButton="0" quotePrefix="0" xfId="0">
      <alignment horizontal="left"/>
    </xf>
    <xf numFmtId="0" fontId="0" fillId="0" borderId="7" pivotButton="0" quotePrefix="0" xfId="0"/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165" fontId="6" fillId="0" borderId="9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23" applyAlignment="1" pivotButton="0" quotePrefix="0" xfId="0">
      <alignment horizontal="center"/>
    </xf>
    <xf numFmtId="165" fontId="2" fillId="0" borderId="10" applyAlignment="1" pivotButton="0" quotePrefix="0" xfId="0">
      <alignment horizontal="center"/>
    </xf>
    <xf numFmtId="0" fontId="7" fillId="0" borderId="25" applyAlignment="1" pivotButton="0" quotePrefix="0" xfId="0">
      <alignment horizontal="center" vertical="top"/>
    </xf>
    <xf numFmtId="0" fontId="4" fillId="4" borderId="18" applyAlignment="1" pivotButton="0" quotePrefix="0" xfId="0">
      <alignment horizontal="center"/>
    </xf>
    <xf numFmtId="0" fontId="0" fillId="0" borderId="18" pivotButton="0" quotePrefix="0" xfId="0"/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2" fillId="0" borderId="5" applyAlignment="1" pivotButton="0" quotePrefix="0" xfId="0">
      <alignment horizontal="left"/>
    </xf>
    <xf numFmtId="0" fontId="0" fillId="0" borderId="6" pivotButton="0" quotePrefix="0" xfId="0"/>
    <xf numFmtId="0" fontId="2" fillId="0" borderId="5" applyAlignment="1" pivotButton="0" quotePrefix="0" xfId="0">
      <alignment horizontal="center"/>
    </xf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3" pivotButton="0" quotePrefix="0" xfId="0"/>
    <xf numFmtId="0" fontId="3" fillId="0" borderId="24" applyAlignment="1" pivotButton="0" quotePrefix="0" xfId="0">
      <alignment horizontal="left" wrapText="1"/>
    </xf>
    <xf numFmtId="0" fontId="0" fillId="0" borderId="22" pivotButton="0" quotePrefix="0" xfId="0"/>
    <xf numFmtId="0" fontId="6" fillId="0" borderId="8" pivotButton="0" quotePrefix="0" xfId="0"/>
    <xf numFmtId="0" fontId="0" fillId="0" borderId="13" pivotButton="0" quotePrefix="0" xfId="0"/>
    <xf numFmtId="0" fontId="4" fillId="4" borderId="19" applyAlignment="1" pivotButton="0" quotePrefix="0" xfId="0">
      <alignment horizontal="center"/>
    </xf>
    <xf numFmtId="0" fontId="0" fillId="0" borderId="17" pivotButton="0" quotePrefix="0" xfId="0"/>
    <xf numFmtId="0" fontId="2" fillId="0" borderId="26" applyAlignment="1" pivotButton="0" quotePrefix="0" xfId="0">
      <alignment horizontal="left"/>
    </xf>
    <xf numFmtId="0" fontId="2" fillId="0" borderId="6" applyAlignment="1" pivotButton="0" quotePrefix="0" xfId="0">
      <alignment horizontal="left"/>
    </xf>
    <xf numFmtId="0" fontId="2" fillId="0" borderId="2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8" fillId="0" borderId="32" applyAlignment="1" pivotButton="0" quotePrefix="0" xfId="0">
      <alignment horizontal="center" vertical="top"/>
    </xf>
    <xf numFmtId="167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854298</colOff>
      <row>3</row>
      <rowOff>174763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2:G57"/>
  <sheetViews>
    <sheetView showGridLines="0" tabSelected="1" topLeftCell="A13" workbookViewId="0">
      <selection activeCell="L50" sqref="L50"/>
    </sheetView>
    <sheetView tabSelected="1" workbookViewId="1">
      <selection activeCell="B12" sqref="B12"/>
    </sheetView>
  </sheetViews>
  <sheetFormatPr baseColWidth="8" defaultRowHeight="15.6"/>
  <cols>
    <col width="0.6640625" customWidth="1" style="1" min="1" max="1"/>
    <col width="19.5546875" customWidth="1" style="1" min="2" max="2"/>
    <col width="13.6640625" customWidth="1" style="1" min="3" max="3"/>
    <col width="11.88671875" customWidth="1" style="1" min="4" max="4"/>
    <col width="8.44140625" bestFit="1" customWidth="1" style="1" min="5" max="5"/>
    <col width="17.88671875" customWidth="1" style="1" min="6" max="6"/>
    <col width="14.6640625" customWidth="1" style="1" min="7" max="7"/>
  </cols>
  <sheetData>
    <row r="1" ht="4.2" customHeight="1"/>
    <row r="2">
      <c r="B2" s="2" t="inlineStr">
        <is>
          <t xml:space="preserve">CVRx US Sales Incentive Compensation Statement </t>
        </is>
      </c>
    </row>
    <row r="3" ht="4.2" customHeight="1"/>
    <row r="4">
      <c r="B4" s="2">
        <f>info!B2 &amp; " " &amp; info!B3</f>
        <v/>
      </c>
    </row>
    <row r="5">
      <c r="B5" s="2">
        <f>info!B6</f>
        <v/>
      </c>
    </row>
    <row r="6">
      <c r="B6" s="2">
        <f>info!B7 &amp; " 2025"</f>
        <v/>
      </c>
    </row>
    <row r="7" ht="4.2" customHeight="1"/>
    <row r="8" ht="4.2" customHeight="1" thickBot="1"/>
    <row r="9">
      <c r="B9" s="33" t="inlineStr">
        <is>
          <t>Sales Performance</t>
        </is>
      </c>
      <c r="C9" s="35" t="n"/>
      <c r="D9" s="3" t="n"/>
      <c r="E9" s="33" t="inlineStr">
        <is>
          <t>Final Payment</t>
        </is>
      </c>
      <c r="F9" s="34" t="n"/>
      <c r="G9" s="35" t="n"/>
    </row>
    <row r="10">
      <c r="B10" s="38" t="inlineStr">
        <is>
          <t>Level 1 Sales</t>
        </is>
      </c>
      <c r="C10" s="22">
        <f>_xlfn.XLOOKUP("L1_REV", payout!$G:$G, payout!$F:$F)</f>
        <v/>
      </c>
      <c r="E10" s="38" t="inlineStr">
        <is>
          <t>Level 1 Payout</t>
        </is>
      </c>
      <c r="F10" s="31" t="n"/>
      <c r="G10" s="7">
        <f>_xlfn.XLOOKUP("L1_PO", payout!G:G,payout!F:F)</f>
        <v/>
      </c>
    </row>
    <row r="11" ht="16.5" customHeight="1" thickBot="1">
      <c r="A11" s="6" t="n"/>
      <c r="B11" s="38" t="inlineStr">
        <is>
          <t>Level 2 Sales</t>
        </is>
      </c>
      <c r="C11" s="23">
        <f>_xlfn.XLOOKUP("L2_REV", payout!$G:$G, payout!$F:$F)</f>
        <v/>
      </c>
      <c r="E11" s="38" t="inlineStr">
        <is>
          <t>Level 2 Payout</t>
        </is>
      </c>
      <c r="F11" s="31" t="n"/>
      <c r="G11" s="7">
        <f>_xlfn.XLOOKUP("L2_PO",payout!G:G,payout!F:F)</f>
        <v/>
      </c>
    </row>
    <row r="12" ht="16.5" customHeight="1" thickBot="1" thickTop="1">
      <c r="A12" s="6" t="n"/>
      <c r="B12" s="11" t="inlineStr">
        <is>
          <t>Total Sales</t>
        </is>
      </c>
      <c r="C12" s="24">
        <f>SUM(C9:C11)</f>
        <v/>
      </c>
      <c r="E12" s="28" t="inlineStr">
        <is>
          <t>Subtotal</t>
        </is>
      </c>
      <c r="F12" s="29" t="n"/>
      <c r="G12" s="12">
        <f>SUM(G9:G11)</f>
        <v/>
      </c>
    </row>
    <row r="13" ht="17.25" customHeight="1" thickTop="1">
      <c r="B13" s="2" t="n"/>
      <c r="C13" s="15" t="n"/>
      <c r="E13" s="39" t="inlineStr">
        <is>
          <t>Other Adjustments</t>
        </is>
      </c>
      <c r="F13" s="40" t="n"/>
      <c r="G13" s="5">
        <f>IFERROR(_xlfn.XLOOKUP("ADJUSTMENTS", payout!G:G,payout!F:F), 0) + IFERROR(_xlfn.XLOOKUP("SPIFF_PO", payout!G:G,payout!F:F), 0)</f>
        <v/>
      </c>
    </row>
    <row r="14" ht="15.75" customHeight="1" thickBot="1">
      <c r="D14" s="6">
        <f>IF(G14&gt;0, 1, 0)</f>
        <v/>
      </c>
      <c r="E14" s="17" t="inlineStr">
        <is>
          <t>Guarantee Adjustment</t>
        </is>
      </c>
      <c r="F14" s="18" t="n"/>
      <c r="G14" s="16">
        <f>IFERROR(_xlfn.XLOOKUP("GUARANTEE",payout!G:G,payout!F:F), 0)</f>
        <v/>
      </c>
    </row>
    <row r="15" ht="16.5" customHeight="1" thickBot="1" thickTop="1">
      <c r="D15" s="6">
        <f>IF(G15&gt;0, 1, 0)</f>
        <v/>
      </c>
      <c r="E15" s="28" t="inlineStr">
        <is>
          <t>Final Payout</t>
        </is>
      </c>
      <c r="F15" s="29" t="n"/>
      <c r="G15" s="8">
        <f>_xlfn.XLOOKUP("PO_AMT", payout!G:G,payout!F:F)</f>
        <v/>
      </c>
    </row>
    <row r="16" ht="17.25" customHeight="1" thickBot="1" thickTop="1">
      <c r="E16" s="41" t="inlineStr">
        <is>
          <t>YTD Payout</t>
        </is>
      </c>
      <c r="F16" s="42" t="n"/>
      <c r="G16" s="21">
        <f>_xlfn.XLOOKUP("YTD_PO", payout!G:G,payout!F:F)</f>
        <v/>
      </c>
    </row>
    <row r="17" ht="17.25" customHeight="1"/>
    <row r="19">
      <c r="B19" s="36" t="inlineStr">
        <is>
          <t xml:space="preserve">Opportunity Detail </t>
        </is>
      </c>
      <c r="C19" s="37" t="n"/>
      <c r="D19" s="37" t="n"/>
      <c r="E19" s="37" t="n"/>
      <c r="F19" s="37" t="n"/>
      <c r="G19" s="31" t="n"/>
    </row>
    <row r="20">
      <c r="B20" s="43" t="inlineStr">
        <is>
          <t>Account</t>
        </is>
      </c>
      <c r="C20" s="44" t="n"/>
      <c r="D20" s="26" t="inlineStr">
        <is>
          <t>Opp Name</t>
        </is>
      </c>
      <c r="E20" s="27" t="n"/>
      <c r="F20" s="13" t="inlineStr">
        <is>
          <t>Sales</t>
        </is>
      </c>
      <c r="G20" s="13" t="inlineStr">
        <is>
          <t>Units</t>
        </is>
      </c>
    </row>
    <row r="21">
      <c r="B21" s="30">
        <f>IF(LEN(detail!K2)&lt;1,"",detail!K2)</f>
        <v/>
      </c>
      <c r="C21" s="31" t="n"/>
      <c r="D21" s="32">
        <f>IF(LEN(detail!M2)&lt;1,"",detail!M2)</f>
        <v/>
      </c>
      <c r="E21" s="31" t="n"/>
      <c r="F21" s="10">
        <f>DOLLAR(IF(LEN(detail!W2)&lt;1,"",detail!W2), 0) &amp; IF(detail!X2 = 1, "*", "")</f>
        <v/>
      </c>
      <c r="G21" s="32">
        <f>IF(LEN(detail!U2)&lt;1,"",detail!U2)</f>
        <v/>
      </c>
    </row>
    <row r="22">
      <c r="B22" s="30">
        <f>IF(LEN(detail!K3)&lt;1,"",detail!K3)</f>
        <v/>
      </c>
      <c r="C22" s="31" t="n"/>
      <c r="D22" s="32">
        <f>IF(LEN(detail!M3)&lt;1,"",detail!M3)</f>
        <v/>
      </c>
      <c r="E22" s="31" t="n"/>
      <c r="F22" s="10">
        <f>DOLLAR(IF(LEN(detail!W3)&lt;1,"",detail!W3), 0) &amp; IF(detail!X3 = 1, "*", "")</f>
        <v/>
      </c>
      <c r="G22" s="32">
        <f>IF(LEN(detail!U3)&lt;1,"",detail!U3)</f>
        <v/>
      </c>
    </row>
    <row r="23">
      <c r="B23" s="30">
        <f>IF(LEN(detail!K4)&lt;1,"",detail!K4)</f>
        <v/>
      </c>
      <c r="C23" s="31" t="n"/>
      <c r="D23" s="32">
        <f>IF(LEN(detail!M4)&lt;1,"",detail!M4)</f>
        <v/>
      </c>
      <c r="E23" s="31" t="n"/>
      <c r="F23" s="10">
        <f>DOLLAR(IF(LEN(detail!W4)&lt;1,"",detail!W4), 0) &amp; IF(detail!X4 = 1, "*", "")</f>
        <v/>
      </c>
      <c r="G23" s="32">
        <f>IF(LEN(detail!U4)&lt;1,"",detail!U4)</f>
        <v/>
      </c>
    </row>
    <row r="24">
      <c r="B24" s="30">
        <f>IF(LEN(detail!K5)&lt;1,"",detail!K5)</f>
        <v/>
      </c>
      <c r="C24" s="31" t="n"/>
      <c r="D24" s="32">
        <f>IF(LEN(detail!M5)&lt;1,"",detail!M5)</f>
        <v/>
      </c>
      <c r="E24" s="31" t="n"/>
      <c r="F24" s="10">
        <f>DOLLAR(IF(LEN(detail!W5)&lt;1,"",detail!W5), 0) &amp; IF(detail!X5 = 1, "*", "")</f>
        <v/>
      </c>
      <c r="G24" s="32">
        <f>IF(LEN(detail!U5)&lt;1,"",detail!U5)</f>
        <v/>
      </c>
    </row>
    <row r="25">
      <c r="B25" s="30">
        <f>IF(LEN(detail!K6)&lt;1,"",detail!K6)</f>
        <v/>
      </c>
      <c r="C25" s="31" t="n"/>
      <c r="D25" s="32">
        <f>IF(LEN(detail!M6)&lt;1,"",detail!M6)</f>
        <v/>
      </c>
      <c r="E25" s="31" t="n"/>
      <c r="F25" s="10">
        <f>DOLLAR(IF(LEN(detail!W6)&lt;1,"",detail!W6), 0) &amp; IF(detail!X6 = 1, "*", "")</f>
        <v/>
      </c>
      <c r="G25" s="32">
        <f>IF(LEN(detail!U6)&lt;1,"",detail!U6)</f>
        <v/>
      </c>
    </row>
    <row r="26">
      <c r="B26" s="30">
        <f>IF(LEN(detail!K7)&lt;1,"",detail!K7)</f>
        <v/>
      </c>
      <c r="C26" s="31" t="n"/>
      <c r="D26" s="32">
        <f>IF(LEN(detail!M7)&lt;1,"",detail!M7)</f>
        <v/>
      </c>
      <c r="E26" s="31" t="n"/>
      <c r="F26" s="10">
        <f>DOLLAR(IF(LEN(detail!W7)&lt;1,"",detail!W7), 0) &amp; IF(detail!X7 = 1, "*", "")</f>
        <v/>
      </c>
      <c r="G26" s="32">
        <f>IF(LEN(detail!U7)&lt;1,"",detail!U7)</f>
        <v/>
      </c>
    </row>
    <row r="27">
      <c r="B27" s="30">
        <f>IF(LEN(detail!K8)&lt;1,"",detail!K8)</f>
        <v/>
      </c>
      <c r="C27" s="31" t="n"/>
      <c r="D27" s="32">
        <f>IF(LEN(detail!M8)&lt;1,"",detail!M8)</f>
        <v/>
      </c>
      <c r="E27" s="31" t="n"/>
      <c r="F27" s="10">
        <f>DOLLAR(IF(LEN(detail!W8)&lt;1,"",detail!W8), 0) &amp; IF(detail!X8 = 1, "*", "")</f>
        <v/>
      </c>
      <c r="G27" s="32">
        <f>IF(LEN(detail!U8)&lt;1,"",detail!U8)</f>
        <v/>
      </c>
    </row>
    <row r="28">
      <c r="B28" s="30">
        <f>IF(LEN(detail!K9)&lt;1,"",detail!K9)</f>
        <v/>
      </c>
      <c r="C28" s="31" t="n"/>
      <c r="D28" s="32">
        <f>IF(LEN(detail!M9)&lt;1,"",detail!M9)</f>
        <v/>
      </c>
      <c r="E28" s="31" t="n"/>
      <c r="F28" s="10">
        <f>DOLLAR(IF(LEN(detail!W9)&lt;1,"",detail!W9), 0) &amp; IF(detail!X9 = 1, "*", "")</f>
        <v/>
      </c>
      <c r="G28" s="32">
        <f>IF(LEN(detail!U9)&lt;1,"",detail!U9)</f>
        <v/>
      </c>
    </row>
    <row r="29">
      <c r="B29" s="30">
        <f>IF(LEN(detail!K10)&lt;1,"",detail!K10)</f>
        <v/>
      </c>
      <c r="C29" s="31" t="n"/>
      <c r="D29" s="32">
        <f>IF(LEN(detail!M10)&lt;1,"",detail!M10)</f>
        <v/>
      </c>
      <c r="E29" s="31" t="n"/>
      <c r="F29" s="10">
        <f>DOLLAR(IF(LEN(detail!W10)&lt;1,"",detail!W10), 0) &amp; IF(detail!X10 = 1, "*", "")</f>
        <v/>
      </c>
      <c r="G29" s="32">
        <f>IF(LEN(detail!U10)&lt;1,"",detail!U10)</f>
        <v/>
      </c>
    </row>
    <row r="30">
      <c r="B30" s="30">
        <f>IF(LEN(detail!K11)&lt;1,"",detail!K11)</f>
        <v/>
      </c>
      <c r="C30" s="31" t="n"/>
      <c r="D30" s="32">
        <f>IF(LEN(detail!M11)&lt;1,"",detail!M11)</f>
        <v/>
      </c>
      <c r="E30" s="31" t="n"/>
      <c r="F30" s="10">
        <f>DOLLAR(IF(LEN(detail!W11)&lt;1,"",detail!W11), 0) &amp; IF(detail!X11 = 1, "*", "")</f>
        <v/>
      </c>
      <c r="G30" s="32">
        <f>IF(LEN(detail!U11)&lt;1,"",detail!U11)</f>
        <v/>
      </c>
    </row>
    <row r="31">
      <c r="B31" s="30">
        <f>IF(LEN(detail!K12)&lt;1,"",detail!K12)</f>
        <v/>
      </c>
      <c r="C31" s="31" t="n"/>
      <c r="D31" s="32">
        <f>IF(LEN(detail!M12)&lt;1,"",detail!M12)</f>
        <v/>
      </c>
      <c r="E31" s="31" t="n"/>
      <c r="F31" s="10">
        <f>DOLLAR(IF(LEN(detail!W12)&lt;1,"",detail!W12), 0) &amp; IF(detail!X12 = 1, "*", "")</f>
        <v/>
      </c>
      <c r="G31" s="32">
        <f>IF(LEN(detail!U12)&lt;1,"",detail!U12)</f>
        <v/>
      </c>
    </row>
    <row r="32">
      <c r="B32" s="30">
        <f>IF(LEN(detail!K13)&lt;1,"",detail!K13)</f>
        <v/>
      </c>
      <c r="C32" s="31" t="n"/>
      <c r="D32" s="32">
        <f>IF(LEN(detail!M13)&lt;1,"",detail!M13)</f>
        <v/>
      </c>
      <c r="E32" s="31" t="n"/>
      <c r="F32" s="10">
        <f>DOLLAR(IF(LEN(detail!W13)&lt;1,"",detail!W13), 0) &amp; IF(detail!X13 = 1, "*", "")</f>
        <v/>
      </c>
      <c r="G32" s="32">
        <f>IF(LEN(detail!U13)&lt;1,"",detail!U13)</f>
        <v/>
      </c>
    </row>
    <row r="33">
      <c r="B33" s="30">
        <f>IF(LEN(detail!K14)&lt;1,"",detail!K14)</f>
        <v/>
      </c>
      <c r="C33" s="31" t="n"/>
      <c r="D33" s="32">
        <f>IF(LEN(detail!M14)&lt;1,"",detail!M14)</f>
        <v/>
      </c>
      <c r="E33" s="31" t="n"/>
      <c r="F33" s="10">
        <f>DOLLAR(IF(LEN(detail!W14)&lt;1,"",detail!W14), 0) &amp; IF(detail!X14 = 1, "*", "")</f>
        <v/>
      </c>
      <c r="G33" s="32">
        <f>IF(LEN(detail!U14)&lt;1,"",detail!U14)</f>
        <v/>
      </c>
    </row>
    <row r="34">
      <c r="B34" s="30">
        <f>IF(LEN(detail!K15)&lt;1,"",detail!K15)</f>
        <v/>
      </c>
      <c r="C34" s="31" t="n"/>
      <c r="D34" s="32">
        <f>IF(LEN(detail!M15)&lt;1,"",detail!M15)</f>
        <v/>
      </c>
      <c r="E34" s="31" t="n"/>
      <c r="F34" s="10">
        <f>DOLLAR(IF(LEN(detail!W15)&lt;1,"",detail!W15), 0) &amp; IF(detail!X15 = 1, "*", "")</f>
        <v/>
      </c>
      <c r="G34" s="32">
        <f>IF(LEN(detail!U15)&lt;1,"",detail!U15)</f>
        <v/>
      </c>
    </row>
    <row r="35">
      <c r="B35" s="30">
        <f>IF(LEN(detail!K16)&lt;1,"",detail!K16)</f>
        <v/>
      </c>
      <c r="C35" s="31" t="n"/>
      <c r="D35" s="32">
        <f>IF(LEN(detail!M16)&lt;1,"",detail!M16)</f>
        <v/>
      </c>
      <c r="E35" s="31" t="n"/>
      <c r="F35" s="10">
        <f>DOLLAR(IF(LEN(detail!W16)&lt;1,"",detail!W16), 0) &amp; IF(detail!X16 = 1, "*", "")</f>
        <v/>
      </c>
      <c r="G35" s="32">
        <f>IF(LEN(detail!U16)&lt;1,"",detail!U16)</f>
        <v/>
      </c>
    </row>
    <row r="36">
      <c r="B36" s="30">
        <f>IF(LEN(detail!K17)&lt;1,"",detail!K17)</f>
        <v/>
      </c>
      <c r="C36" s="31" t="n"/>
      <c r="D36" s="32">
        <f>IF(LEN(detail!M17)&lt;1,"",detail!M17)</f>
        <v/>
      </c>
      <c r="E36" s="31" t="n"/>
      <c r="F36" s="10">
        <f>DOLLAR(IF(LEN(detail!W17)&lt;1,"",detail!W17), 0) &amp; IF(detail!X17 = 1, "*", "")</f>
        <v/>
      </c>
      <c r="G36" s="32">
        <f>IF(LEN(detail!U17)&lt;1,"",detail!U17)</f>
        <v/>
      </c>
    </row>
    <row r="37">
      <c r="B37" s="30">
        <f>IF(LEN(detail!K18)&lt;1,"",detail!K18)</f>
        <v/>
      </c>
      <c r="C37" s="31" t="n"/>
      <c r="D37" s="32">
        <f>IF(LEN(detail!M18)&lt;1,"",detail!M18)</f>
        <v/>
      </c>
      <c r="E37" s="31" t="n"/>
      <c r="F37" s="10">
        <f>DOLLAR(IF(LEN(detail!W18)&lt;1,"",detail!W18), 0) &amp; IF(detail!X18 = 1, "*", "")</f>
        <v/>
      </c>
      <c r="G37" s="32">
        <f>IF(LEN(detail!U18)&lt;1,"",detail!U18)</f>
        <v/>
      </c>
    </row>
    <row r="38">
      <c r="B38" s="30">
        <f>IF(LEN(detail!K19)&lt;1,"",detail!K19)</f>
        <v/>
      </c>
      <c r="C38" s="31" t="n"/>
      <c r="D38" s="32">
        <f>IF(LEN(detail!M19)&lt;1,"",detail!M19)</f>
        <v/>
      </c>
      <c r="E38" s="31" t="n"/>
      <c r="F38" s="10">
        <f>DOLLAR(IF(LEN(detail!W19)&lt;1,"",detail!W19), 0) &amp; IF(detail!X19 = 1, "*", "")</f>
        <v/>
      </c>
      <c r="G38" s="32">
        <f>IF(LEN(detail!U19)&lt;1,"",detail!U19)</f>
        <v/>
      </c>
    </row>
    <row r="39">
      <c r="B39" s="30">
        <f>IF(LEN(detail!K20)&lt;1,"",detail!K20)</f>
        <v/>
      </c>
      <c r="C39" s="31" t="n"/>
      <c r="D39" s="32">
        <f>IF(LEN(detail!M20)&lt;1,"",detail!M20)</f>
        <v/>
      </c>
      <c r="E39" s="31" t="n"/>
      <c r="F39" s="10">
        <f>DOLLAR(IF(LEN(detail!W20)&lt;1,"",detail!W20), 0) &amp; IF(detail!X20 = 1, "*", "")</f>
        <v/>
      </c>
      <c r="G39" s="32">
        <f>IF(LEN(detail!U20)&lt;1,"",detail!U20)</f>
        <v/>
      </c>
    </row>
    <row r="40">
      <c r="B40" s="30">
        <f>IF(LEN(detail!K21)&lt;1,"",detail!K21)</f>
        <v/>
      </c>
      <c r="C40" s="31" t="n"/>
      <c r="D40" s="32">
        <f>IF(LEN(detail!M21)&lt;1,"",detail!M21)</f>
        <v/>
      </c>
      <c r="E40" s="31" t="n"/>
      <c r="F40" s="10">
        <f>DOLLAR(IF(LEN(detail!W21)&lt;1,"",detail!W21), 0) &amp; IF(detail!X21 = 1, "*", "")</f>
        <v/>
      </c>
      <c r="G40" s="32">
        <f>IF(LEN(detail!U21)&lt;1,"",detail!U21)</f>
        <v/>
      </c>
    </row>
    <row r="41">
      <c r="B41" s="30">
        <f>IF(LEN(detail!K22)&lt;1,"",detail!K22)</f>
        <v/>
      </c>
      <c r="C41" s="31" t="n"/>
      <c r="D41" s="32">
        <f>IF(LEN(detail!M22)&lt;1,"",detail!M22)</f>
        <v/>
      </c>
      <c r="E41" s="31" t="n"/>
      <c r="F41" s="10">
        <f>DOLLAR(IF(LEN(detail!W22)&lt;1,"",detail!W22), 0) &amp; IF(detail!X22 = 1, "*", "")</f>
        <v/>
      </c>
      <c r="G41" s="32">
        <f>IF(LEN(detail!U22)&lt;1,"",detail!U22)</f>
        <v/>
      </c>
    </row>
    <row r="42">
      <c r="B42" s="30">
        <f>IF(LEN(detail!K23)&lt;1,"",detail!K23)</f>
        <v/>
      </c>
      <c r="C42" s="31" t="n"/>
      <c r="D42" s="32">
        <f>IF(LEN(detail!M23)&lt;1,"",detail!M23)</f>
        <v/>
      </c>
      <c r="E42" s="31" t="n"/>
      <c r="F42" s="10">
        <f>DOLLAR(IF(LEN(detail!W23)&lt;1,"",detail!W23), 0) &amp; IF(detail!X23 = 1, "*", "")</f>
        <v/>
      </c>
      <c r="G42" s="32">
        <f>IF(LEN(detail!U23)&lt;1,"",detail!U23)</f>
        <v/>
      </c>
    </row>
    <row r="43">
      <c r="B43" s="30">
        <f>IF(LEN(detail!K24)&lt;1,"",detail!K24)</f>
        <v/>
      </c>
      <c r="C43" s="31" t="n"/>
      <c r="D43" s="32">
        <f>IF(LEN(detail!M24)&lt;1,"",detail!M24)</f>
        <v/>
      </c>
      <c r="E43" s="31" t="n"/>
      <c r="F43" s="10">
        <f>DOLLAR(IF(LEN(detail!W24)&lt;1,"",detail!W24), 0) &amp; IF(detail!X24 = 1, "*", "")</f>
        <v/>
      </c>
      <c r="G43" s="32">
        <f>IF(LEN(detail!U24)&lt;1,"",detail!U24)</f>
        <v/>
      </c>
    </row>
    <row r="44">
      <c r="B44" s="30">
        <f>IF(LEN(detail!K25)&lt;1,"",detail!K25)</f>
        <v/>
      </c>
      <c r="C44" s="31" t="n"/>
      <c r="D44" s="32">
        <f>IF(LEN(detail!M25)&lt;1,"",detail!M25)</f>
        <v/>
      </c>
      <c r="E44" s="31" t="n"/>
      <c r="F44" s="10">
        <f>DOLLAR(IF(LEN(detail!W25)&lt;1,"",detail!W25), 0) &amp; IF(detail!X25 = 1, "*", "")</f>
        <v/>
      </c>
      <c r="G44" s="32">
        <f>IF(LEN(detail!U25)&lt;1,"",detail!U25)</f>
        <v/>
      </c>
    </row>
    <row r="45">
      <c r="B45" s="30">
        <f>IF(LEN(detail!K26)&lt;1,"",detail!K26)</f>
        <v/>
      </c>
      <c r="C45" s="31" t="n"/>
      <c r="D45" s="32">
        <f>IF(LEN(detail!M26)&lt;1,"",detail!M26)</f>
        <v/>
      </c>
      <c r="E45" s="31" t="n"/>
      <c r="F45" s="10">
        <f>DOLLAR(IF(LEN(detail!W26)&lt;1,"",detail!W26), 0) &amp; IF(detail!X26 = 1, "*", "")</f>
        <v/>
      </c>
      <c r="G45" s="32">
        <f>IF(LEN(detail!U26)&lt;1,"",detail!U26)</f>
        <v/>
      </c>
    </row>
    <row r="46">
      <c r="B46" s="30">
        <f>IF(LEN(detail!K27)&lt;1,"",detail!K27)</f>
        <v/>
      </c>
      <c r="C46" s="31" t="n"/>
      <c r="D46" s="32">
        <f>IF(LEN(detail!M27)&lt;1,"",detail!M27)</f>
        <v/>
      </c>
      <c r="E46" s="31" t="n"/>
      <c r="F46" s="10">
        <f>DOLLAR(IF(LEN(detail!W27)&lt;1,"",detail!W27), 0) &amp; IF(detail!X27 = 1, "*", "")</f>
        <v/>
      </c>
      <c r="G46" s="32">
        <f>IF(LEN(detail!U27)&lt;1,"",detail!U27)</f>
        <v/>
      </c>
    </row>
    <row r="47">
      <c r="B47" s="30">
        <f>IF(LEN(detail!K28)&lt;1,"",detail!K28)</f>
        <v/>
      </c>
      <c r="C47" s="31" t="n"/>
      <c r="D47" s="32">
        <f>IF(LEN(detail!M28)&lt;1,"",detail!M28)</f>
        <v/>
      </c>
      <c r="E47" s="31" t="n"/>
      <c r="F47" s="10">
        <f>DOLLAR(IF(LEN(detail!W28)&lt;1,"",detail!W28), 0) &amp; IF(detail!X28 = 1, "*", "")</f>
        <v/>
      </c>
      <c r="G47" s="32">
        <f>IF(LEN(detail!U28)&lt;1,"",detail!U28)</f>
        <v/>
      </c>
    </row>
    <row r="48">
      <c r="B48" s="30">
        <f>IF(LEN(detail!K29)&lt;1,"",detail!K29)</f>
        <v/>
      </c>
      <c r="C48" s="31" t="n"/>
      <c r="D48" s="32">
        <f>IF(LEN(detail!M29)&lt;1,"",detail!M29)</f>
        <v/>
      </c>
      <c r="E48" s="31" t="n"/>
      <c r="F48" s="10">
        <f>DOLLAR(IF(LEN(detail!W29)&lt;1,"",detail!W29), 0) &amp; IF(detail!X29 = 1, "*", "")</f>
        <v/>
      </c>
      <c r="G48" s="32">
        <f>IF(LEN(detail!U29)&lt;1,"",detail!U29)</f>
        <v/>
      </c>
    </row>
    <row r="49">
      <c r="B49" s="30">
        <f>IF(LEN(detail!K30)&lt;1,"",detail!K30)</f>
        <v/>
      </c>
      <c r="C49" s="31" t="n"/>
      <c r="D49" s="32">
        <f>IF(LEN(detail!M30)&lt;1,"",detail!M30)</f>
        <v/>
      </c>
      <c r="E49" s="31" t="n"/>
      <c r="F49" s="10">
        <f>DOLLAR(IF(LEN(detail!W30)&lt;1,"",detail!W30), 0) &amp; IF(detail!X30 = 1, "*", "")</f>
        <v/>
      </c>
      <c r="G49" s="32">
        <f>IF(LEN(detail!U30)&lt;1,"",detail!U30)</f>
        <v/>
      </c>
    </row>
    <row r="50">
      <c r="B50" s="30">
        <f>IF(LEN(detail!K31)&lt;1,"",detail!K31)</f>
        <v/>
      </c>
      <c r="C50" s="31" t="n"/>
      <c r="D50" s="32">
        <f>IF(LEN(detail!M31)&lt;1,"",detail!M31)</f>
        <v/>
      </c>
      <c r="E50" s="31" t="n"/>
      <c r="F50" s="10">
        <f>DOLLAR(IF(LEN(detail!W31)&lt;1,"",detail!W31), 0) &amp; IF(detail!X31 = 1, "*", "")</f>
        <v/>
      </c>
      <c r="G50" s="32">
        <f>IF(LEN(detail!U31)&lt;1,"",detail!U31)</f>
        <v/>
      </c>
    </row>
    <row r="51">
      <c r="B51" s="30">
        <f>IF(LEN(detail!K32)&lt;1,"",detail!K32)</f>
        <v/>
      </c>
      <c r="C51" s="31" t="n"/>
      <c r="D51" s="32">
        <f>IF(LEN(detail!M32)&lt;1,"",detail!M32)</f>
        <v/>
      </c>
      <c r="E51" s="31" t="n"/>
      <c r="F51" s="10">
        <f>DOLLAR(IF(LEN(detail!W32)&lt;1,"",detail!W32), 0) &amp; IF(detail!X32 = 1, "*", "")</f>
        <v/>
      </c>
      <c r="G51" s="32">
        <f>IF(LEN(detail!U32)&lt;1,"",detail!U32)</f>
        <v/>
      </c>
    </row>
    <row r="52">
      <c r="B52" s="30">
        <f>IF(LEN(detail!K33)&lt;1,"",detail!K33)</f>
        <v/>
      </c>
      <c r="C52" s="31" t="n"/>
      <c r="D52" s="32">
        <f>IF(LEN(detail!M33)&lt;1,"",detail!M33)</f>
        <v/>
      </c>
      <c r="E52" s="31" t="n"/>
      <c r="F52" s="10">
        <f>DOLLAR(IF(LEN(detail!W33)&lt;1,"",detail!W33), 0) &amp; IF(detail!X33 = 1, "*", "")</f>
        <v/>
      </c>
      <c r="G52" s="32">
        <f>IF(LEN(detail!U33)&lt;1,"",detail!U33)</f>
        <v/>
      </c>
    </row>
    <row r="53">
      <c r="B53" s="30">
        <f>IF(LEN(detail!K34)&lt;1,"",detail!K34)</f>
        <v/>
      </c>
      <c r="C53" s="31" t="n"/>
      <c r="D53" s="32">
        <f>IF(LEN(detail!M34)&lt;1,"",detail!M34)</f>
        <v/>
      </c>
      <c r="E53" s="31" t="n"/>
      <c r="F53" s="10">
        <f>DOLLAR(IF(LEN(detail!W34)&lt;1,"",detail!W34), 0) &amp; IF(detail!X34 = 1, "*", "")</f>
        <v/>
      </c>
      <c r="G53" s="32">
        <f>IF(LEN(detail!U34)&lt;1,"",detail!U34)</f>
        <v/>
      </c>
    </row>
    <row r="54">
      <c r="B54" s="30">
        <f>IF(LEN(detail!K35)&lt;1,"",detail!K35)</f>
        <v/>
      </c>
      <c r="C54" s="31" t="n"/>
      <c r="D54" s="32">
        <f>IF(LEN(detail!M35)&lt;1,"",detail!M35)</f>
        <v/>
      </c>
      <c r="E54" s="31" t="n"/>
      <c r="F54" s="10">
        <f>DOLLAR(IF(LEN(detail!W35)&lt;1,"",detail!W35), 0) &amp; IF(detail!X35 = 1, "*", "")</f>
        <v/>
      </c>
      <c r="G54" s="32">
        <f>IF(LEN(detail!U35)&lt;1,"",detail!U35)</f>
        <v/>
      </c>
    </row>
    <row r="55">
      <c r="B55" s="30">
        <f>IF(LEN(detail!K36)&lt;1,"",detail!K36)</f>
        <v/>
      </c>
      <c r="C55" s="31" t="n"/>
      <c r="D55" s="32">
        <f>IF(LEN(detail!M36)&lt;1,"",detail!M36)</f>
        <v/>
      </c>
      <c r="E55" s="31" t="n"/>
      <c r="F55" s="10">
        <f>DOLLAR(IF(LEN(detail!W36)&lt;1,"",detail!W36), 0) &amp; IF(detail!X36 = 1, "*", "")</f>
        <v/>
      </c>
      <c r="G55" s="32">
        <f>IF(LEN(detail!U36)&lt;1,"",detail!U36)</f>
        <v/>
      </c>
    </row>
    <row r="56">
      <c r="B56" s="30">
        <f>IF(LEN(detail!K37)&lt;1,"",detail!K37)</f>
        <v/>
      </c>
      <c r="C56" s="31" t="n"/>
      <c r="D56" s="32">
        <f>IF(LEN(detail!M37)&lt;1,"",detail!M37)</f>
        <v/>
      </c>
      <c r="E56" s="31" t="n"/>
      <c r="F56" s="10">
        <f>DOLLAR(IF(LEN(detail!W37)&lt;1,"",detail!W37), 0) &amp; IF(detail!X37 = 1, "*", "")</f>
        <v/>
      </c>
      <c r="G56" s="32">
        <f>IF(LEN(detail!U37)&lt;1,"",detail!U37)</f>
        <v/>
      </c>
    </row>
    <row r="57">
      <c r="B57" s="1" t="inlineStr">
        <is>
          <t>* An asterisk denotes that the opp includes a rebate</t>
        </is>
      </c>
    </row>
  </sheetData>
  <mergeCells count="82">
    <mergeCell ref="D20:E20"/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44:C44"/>
    <mergeCell ref="B34:C34"/>
    <mergeCell ref="B28:C28"/>
    <mergeCell ref="D28:E28"/>
    <mergeCell ref="B9:C9"/>
    <mergeCell ref="D25:E25"/>
    <mergeCell ref="B30:C30"/>
    <mergeCell ref="D55:E55"/>
    <mergeCell ref="D30:E30"/>
    <mergeCell ref="B20:C20"/>
    <mergeCell ref="B45:C45"/>
    <mergeCell ref="D54:E54"/>
    <mergeCell ref="B47:C47"/>
    <mergeCell ref="B46:C46"/>
    <mergeCell ref="D46:E46"/>
    <mergeCell ref="D40:E40"/>
    <mergeCell ref="D21:E21"/>
    <mergeCell ref="B39:C39"/>
    <mergeCell ref="B19:G19"/>
    <mergeCell ref="B48:C48"/>
    <mergeCell ref="E10:F10"/>
    <mergeCell ref="B23:C23"/>
    <mergeCell ref="D32:E32"/>
    <mergeCell ref="D41:E41"/>
    <mergeCell ref="D43:E43"/>
    <mergeCell ref="E11:F11"/>
    <mergeCell ref="D42:E42"/>
    <mergeCell ref="B36:C36"/>
    <mergeCell ref="B50:C50"/>
    <mergeCell ref="D50:E50"/>
    <mergeCell ref="D44:E44"/>
  </mergeCells>
  <conditionalFormatting sqref="B21:B56 D21:D56 F21:G56">
    <cfRule type="containsErrors" priority="1" dxfId="0">
      <formula>ISERROR(B21)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YYYYMM</t>
        </is>
      </c>
      <c r="B1" s="49" t="inlineStr">
        <is>
          <t>EID</t>
        </is>
      </c>
      <c r="C1" s="49" t="inlineStr">
        <is>
          <t>YYYYQQ</t>
        </is>
      </c>
      <c r="D1" s="49" t="inlineStr">
        <is>
          <t>ROLE</t>
        </is>
      </c>
      <c r="E1" s="49" t="inlineStr">
        <is>
          <t>STATUS</t>
        </is>
      </c>
      <c r="F1" s="49" t="inlineStr">
        <is>
          <t>VALUE</t>
        </is>
      </c>
      <c r="G1" s="49" t="inlineStr">
        <is>
          <t>CATEGORY</t>
        </is>
      </c>
      <c r="H1" s="49" t="inlineStr">
        <is>
          <t>Notes</t>
        </is>
      </c>
    </row>
    <row r="2">
      <c r="A2" t="inlineStr">
        <is>
          <t>2025_08</t>
        </is>
      </c>
      <c r="B2" t="inlineStr">
        <is>
          <t>scroxdale@cvrx.com</t>
        </is>
      </c>
      <c r="C2" t="inlineStr">
        <is>
          <t>2025_Q3</t>
        </is>
      </c>
      <c r="D2" t="inlineStr">
        <is>
          <t>ASD</t>
        </is>
      </c>
      <c r="E2" t="inlineStr">
        <is>
          <t>ACTIVE</t>
        </is>
      </c>
      <c r="F2" t="n">
        <v>172500</v>
      </c>
      <c r="G2" t="inlineStr">
        <is>
          <t>YTD_PO</t>
        </is>
      </c>
    </row>
    <row r="3">
      <c r="A3" t="inlineStr">
        <is>
          <t>2025_08</t>
        </is>
      </c>
      <c r="B3" t="inlineStr">
        <is>
          <t>scroxdale@cvrx.com</t>
        </is>
      </c>
      <c r="C3" t="inlineStr">
        <is>
          <t>2025_Q3</t>
        </is>
      </c>
      <c r="D3" t="inlineStr">
        <is>
          <t>ASD</t>
        </is>
      </c>
      <c r="E3" t="inlineStr">
        <is>
          <t>ACTIVE</t>
        </is>
      </c>
      <c r="F3" t="n">
        <v>289704.55</v>
      </c>
      <c r="G3" t="inlineStr">
        <is>
          <t>SALES</t>
        </is>
      </c>
    </row>
    <row r="4">
      <c r="A4" t="inlineStr">
        <is>
          <t>2025_08</t>
        </is>
      </c>
      <c r="B4" t="inlineStr">
        <is>
          <t>scroxdale@cvrx.com</t>
        </is>
      </c>
      <c r="C4" t="inlineStr">
        <is>
          <t>2025_Q3</t>
        </is>
      </c>
      <c r="D4" t="inlineStr">
        <is>
          <t>ASD</t>
        </is>
      </c>
      <c r="E4" t="inlineStr">
        <is>
          <t>ACTIVE</t>
        </is>
      </c>
      <c r="F4" t="n">
        <v>6054.83</v>
      </c>
      <c r="G4" t="inlineStr">
        <is>
          <t>L1_PO</t>
        </is>
      </c>
    </row>
    <row r="5">
      <c r="A5" t="inlineStr">
        <is>
          <t>2025_08</t>
        </is>
      </c>
      <c r="B5" t="inlineStr">
        <is>
          <t>scroxdale@cvrx.com</t>
        </is>
      </c>
      <c r="C5" t="inlineStr">
        <is>
          <t>2025_Q3</t>
        </is>
      </c>
      <c r="D5" t="inlineStr">
        <is>
          <t>ASD</t>
        </is>
      </c>
      <c r="E5" t="inlineStr">
        <is>
          <t>ACTIVE</t>
        </is>
      </c>
      <c r="F5" t="n">
        <v>0</v>
      </c>
      <c r="G5" t="inlineStr">
        <is>
          <t>L2_PO</t>
        </is>
      </c>
    </row>
    <row r="6">
      <c r="A6" t="inlineStr">
        <is>
          <t>2025_08</t>
        </is>
      </c>
      <c r="B6" t="inlineStr">
        <is>
          <t>scroxdale@cvrx.com</t>
        </is>
      </c>
      <c r="C6" t="inlineStr">
        <is>
          <t>2025_Q3</t>
        </is>
      </c>
      <c r="D6" t="inlineStr">
        <is>
          <t>ASD</t>
        </is>
      </c>
      <c r="E6" t="inlineStr">
        <is>
          <t>ACTIVE</t>
        </is>
      </c>
      <c r="F6" t="n">
        <v>289704.55</v>
      </c>
      <c r="G6" t="inlineStr">
        <is>
          <t>L1_REV</t>
        </is>
      </c>
    </row>
    <row r="7">
      <c r="A7" t="inlineStr">
        <is>
          <t>2025_08</t>
        </is>
      </c>
      <c r="B7" t="inlineStr">
        <is>
          <t>scroxdale@cvrx.com</t>
        </is>
      </c>
      <c r="C7" t="inlineStr">
        <is>
          <t>2025_Q3</t>
        </is>
      </c>
      <c r="D7" t="inlineStr">
        <is>
          <t>ASD</t>
        </is>
      </c>
      <c r="E7" t="inlineStr">
        <is>
          <t>ACTIVE</t>
        </is>
      </c>
      <c r="F7" t="n">
        <v>0</v>
      </c>
      <c r="G7" t="inlineStr">
        <is>
          <t>L2_REV</t>
        </is>
      </c>
    </row>
    <row r="8">
      <c r="A8" t="inlineStr">
        <is>
          <t>2025_08</t>
        </is>
      </c>
      <c r="B8" t="inlineStr">
        <is>
          <t>scroxdale@cvrx.com</t>
        </is>
      </c>
      <c r="C8" t="inlineStr">
        <is>
          <t>2025_Q3</t>
        </is>
      </c>
      <c r="D8" t="inlineStr">
        <is>
          <t>ASD</t>
        </is>
      </c>
      <c r="E8" t="inlineStr">
        <is>
          <t>ACTIVE</t>
        </is>
      </c>
      <c r="F8" t="n">
        <v>6054.83</v>
      </c>
      <c r="G8" t="inlineStr">
        <is>
          <t>TTL_PO</t>
        </is>
      </c>
    </row>
    <row r="9">
      <c r="A9" t="inlineStr">
        <is>
          <t>2025_08</t>
        </is>
      </c>
      <c r="B9" t="inlineStr">
        <is>
          <t>scroxdale@cvrx.com</t>
        </is>
      </c>
      <c r="C9" t="inlineStr">
        <is>
          <t>2025_Q3</t>
        </is>
      </c>
      <c r="D9" t="inlineStr">
        <is>
          <t>ASD</t>
        </is>
      </c>
      <c r="E9" t="inlineStr">
        <is>
          <t>ACTIVE</t>
        </is>
      </c>
      <c r="F9" t="n">
        <v>18750</v>
      </c>
      <c r="G9" t="inlineStr">
        <is>
          <t>GUARANTEE</t>
        </is>
      </c>
    </row>
    <row r="10">
      <c r="A10" t="inlineStr">
        <is>
          <t>2025_08</t>
        </is>
      </c>
      <c r="B10" t="inlineStr">
        <is>
          <t>scroxdale@cvrx.com</t>
        </is>
      </c>
      <c r="C10" t="inlineStr">
        <is>
          <t>2025_Q3</t>
        </is>
      </c>
      <c r="D10" t="inlineStr">
        <is>
          <t>ASD</t>
        </is>
      </c>
      <c r="E10" t="inlineStr">
        <is>
          <t>ACTIVE</t>
        </is>
      </c>
      <c r="F10" t="n">
        <v>18750</v>
      </c>
      <c r="G10" t="inlineStr">
        <is>
          <t>PO_AMT</t>
        </is>
      </c>
    </row>
    <row r="11">
      <c r="A11" t="inlineStr">
        <is>
          <t>2025_08</t>
        </is>
      </c>
      <c r="B11" t="inlineStr">
        <is>
          <t>scroxdale@cvrx.com</t>
        </is>
      </c>
      <c r="C11" t="inlineStr">
        <is>
          <t>2025_Q3</t>
        </is>
      </c>
      <c r="D11" t="inlineStr">
        <is>
          <t>ASD</t>
        </is>
      </c>
      <c r="E11" t="inlineStr">
        <is>
          <t>ACTIVE</t>
        </is>
      </c>
      <c r="F11" t="n">
        <v>8</v>
      </c>
      <c r="G11" t="inlineStr">
        <is>
          <t>REVENUE_UNITS</t>
        </is>
      </c>
    </row>
    <row r="12">
      <c r="A12" t="inlineStr">
        <is>
          <t>2025_08</t>
        </is>
      </c>
      <c r="B12" t="inlineStr">
        <is>
          <t>scroxdale@cvrx.com</t>
        </is>
      </c>
      <c r="C12" t="inlineStr">
        <is>
          <t>2025_Q3</t>
        </is>
      </c>
      <c r="D12" t="inlineStr">
        <is>
          <t>ASD</t>
        </is>
      </c>
      <c r="E12" t="inlineStr">
        <is>
          <t>ACTIVE</t>
        </is>
      </c>
      <c r="F12" t="n">
        <v>13</v>
      </c>
      <c r="G12" t="inlineStr">
        <is>
          <t>IMPLANT_UNITS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7"/>
  <sheetViews>
    <sheetView workbookViewId="0">
      <selection activeCell="B6" sqref="B6"/>
    </sheetView>
    <sheetView workbookViewId="1">
      <selection activeCell="A1" sqref="A1"/>
    </sheetView>
  </sheetViews>
  <sheetFormatPr baseColWidth="8" defaultRowHeight="14.4"/>
  <cols>
    <col width="11.109375" bestFit="1" customWidth="1" min="1" max="1"/>
    <col width="23.6640625" bestFit="1" customWidth="1" min="2" max="2"/>
  </cols>
  <sheetData>
    <row r="1">
      <c r="A1" t="inlineStr">
        <is>
          <t>Name:</t>
        </is>
      </c>
      <c r="B1" t="inlineStr">
        <is>
          <t>Sean Croxdale</t>
        </is>
      </c>
    </row>
    <row r="2">
      <c r="A2" t="inlineStr">
        <is>
          <t>First Name:</t>
        </is>
      </c>
      <c r="B2" t="inlineStr">
        <is>
          <t>Sean</t>
        </is>
      </c>
    </row>
    <row r="3">
      <c r="A3" t="inlineStr">
        <is>
          <t>Last Name:</t>
        </is>
      </c>
      <c r="B3" t="inlineStr">
        <is>
          <t>Croxdale</t>
        </is>
      </c>
    </row>
    <row r="4">
      <c r="A4" t="inlineStr">
        <is>
          <t>Email:</t>
        </is>
      </c>
      <c r="B4" t="inlineStr">
        <is>
          <t>scroxdale@cvrx.com</t>
        </is>
      </c>
    </row>
    <row r="5">
      <c r="A5" t="inlineStr">
        <is>
          <t>Territory:</t>
        </is>
      </c>
      <c r="B5" t="inlineStr">
        <is>
          <t>THE SYNDICATE</t>
        </is>
      </c>
    </row>
    <row r="6">
      <c r="A6" t="inlineStr">
        <is>
          <t>Role:</t>
        </is>
      </c>
      <c r="B6" t="inlineStr">
        <is>
          <t>Area Sales Director</t>
        </is>
      </c>
    </row>
    <row r="7">
      <c r="A7" t="inlineStr">
        <is>
          <t>Month:</t>
        </is>
      </c>
      <c r="B7" t="inlineStr">
        <is>
          <t>August</t>
        </is>
      </c>
    </row>
    <row r="22" ht="15.9" customHeight="1"/>
    <row r="23" ht="15.9" customHeight="1"/>
    <row r="24" ht="3.9" customHeight="1"/>
    <row r="25" ht="3.9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REGION_NM</t>
        </is>
      </c>
      <c r="B1" s="49" t="inlineStr">
        <is>
          <t>REGION_ID</t>
        </is>
      </c>
      <c r="C1" s="49" t="inlineStr">
        <is>
          <t>SALES_CREDIT_ASD_EMAIL</t>
        </is>
      </c>
      <c r="D1" s="49" t="inlineStr">
        <is>
          <t>SALES_CREDIT_REP_EMAIL</t>
        </is>
      </c>
      <c r="E1" s="49" t="inlineStr">
        <is>
          <t>CLOSEDATE</t>
        </is>
      </c>
      <c r="F1" s="49" t="inlineStr">
        <is>
          <t>CLOSE_YYYYMM</t>
        </is>
      </c>
      <c r="G1" s="49" t="inlineStr">
        <is>
          <t>CLOSE_YYYYQQ</t>
        </is>
      </c>
      <c r="H1" s="49" t="inlineStr">
        <is>
          <t>IMPLANTED_DT</t>
        </is>
      </c>
      <c r="I1" s="49" t="inlineStr">
        <is>
          <t>IMPLANTED_YYYYMM</t>
        </is>
      </c>
      <c r="J1" s="49" t="inlineStr">
        <is>
          <t>IMPLANTED_YYYYQQ</t>
        </is>
      </c>
      <c r="K1" s="49" t="inlineStr">
        <is>
          <t>ACCOUNT_INDICATION__C</t>
        </is>
      </c>
      <c r="L1" s="49" t="inlineStr">
        <is>
          <t>ACT_ID</t>
        </is>
      </c>
      <c r="M1" s="49" t="inlineStr">
        <is>
          <t>OPP_NAME</t>
        </is>
      </c>
      <c r="N1" s="49" t="inlineStr">
        <is>
          <t>OPP_ID</t>
        </is>
      </c>
      <c r="O1" s="49" t="inlineStr">
        <is>
          <t>PHYSICIAN</t>
        </is>
      </c>
      <c r="P1" s="49" t="inlineStr">
        <is>
          <t>PHYSICIAN_ID</t>
        </is>
      </c>
      <c r="Q1" s="49" t="inlineStr">
        <is>
          <t>INDICATION_FOR_USE__C</t>
        </is>
      </c>
      <c r="R1" s="49" t="inlineStr">
        <is>
          <t>REASON_FOR_IMPLANT__C</t>
        </is>
      </c>
      <c r="S1" s="49" t="inlineStr">
        <is>
          <t>ISIMPL</t>
        </is>
      </c>
      <c r="T1" s="49" t="inlineStr">
        <is>
          <t>IMPLANT_UNITS</t>
        </is>
      </c>
      <c r="U1" s="49" t="inlineStr">
        <is>
          <t>REVENUE_UNITS</t>
        </is>
      </c>
      <c r="V1" s="49" t="inlineStr">
        <is>
          <t>SALES</t>
        </is>
      </c>
      <c r="W1" s="49" t="inlineStr">
        <is>
          <t>SALES_COMMISSIONABLE</t>
        </is>
      </c>
      <c r="X1" s="49" t="inlineStr">
        <is>
          <t>REBATE?</t>
        </is>
      </c>
      <c r="Y1" s="49" t="inlineStr">
        <is>
          <t>ASP</t>
        </is>
      </c>
      <c r="Z1" s="49" t="inlineStr">
        <is>
          <t>THRESHOLD</t>
        </is>
      </c>
      <c r="AA1" s="49" t="inlineStr">
        <is>
          <t>PLAN</t>
        </is>
      </c>
      <c r="AB1" s="49" t="inlineStr">
        <is>
          <t>L1 Rate</t>
        </is>
      </c>
      <c r="AC1" s="49" t="inlineStr">
        <is>
          <t>L2 Rate</t>
        </is>
      </c>
      <c r="AD1" s="49" t="inlineStr">
        <is>
          <t>QTD_SALES_COMMISSIONABLE</t>
        </is>
      </c>
      <c r="AE1" s="49" t="inlineStr">
        <is>
          <t>QTD_IMPLANT_UNITS</t>
        </is>
      </c>
      <c r="AF1" s="49" t="inlineStr">
        <is>
          <t>QTD_REVENUE_UNITS</t>
        </is>
      </c>
      <c r="AG1" s="49" t="inlineStr">
        <is>
          <t>L1_REV</t>
        </is>
      </c>
      <c r="AH1" s="49" t="inlineStr">
        <is>
          <t>L2_REV</t>
        </is>
      </c>
      <c r="AI1" s="49" t="inlineStr">
        <is>
          <t>L1_PO</t>
        </is>
      </c>
      <c r="AJ1" s="49" t="inlineStr">
        <is>
          <t>L2_PO</t>
        </is>
      </c>
    </row>
    <row r="2">
      <c r="A2" t="inlineStr">
        <is>
          <t>THE SYNDICATE</t>
        </is>
      </c>
      <c r="B2" t="inlineStr">
        <is>
          <t>RE_03</t>
        </is>
      </c>
      <c r="C2" t="inlineStr">
        <is>
          <t>scroxdale@cvrx.com</t>
        </is>
      </c>
      <c r="D2" t="inlineStr">
        <is>
          <t>bkelly@cvrx.com</t>
        </is>
      </c>
      <c r="E2" s="51" t="n">
        <v>45874</v>
      </c>
      <c r="F2" t="inlineStr">
        <is>
          <t>2025_08</t>
        </is>
      </c>
      <c r="G2" t="inlineStr">
        <is>
          <t>2025_Q3</t>
        </is>
      </c>
      <c r="H2" s="51" t="n">
        <v>45870</v>
      </c>
      <c r="I2" t="inlineStr">
        <is>
          <t>2025_08</t>
        </is>
      </c>
      <c r="J2" t="inlineStr">
        <is>
          <t>2025_Q3</t>
        </is>
      </c>
      <c r="K2" t="inlineStr">
        <is>
          <t>Hca Houston Healthcare Clear Lake</t>
        </is>
      </c>
      <c r="L2" t="inlineStr">
        <is>
          <t>0014u00001s9Ep8AAE</t>
        </is>
      </c>
      <c r="M2" t="inlineStr">
        <is>
          <t>CRX255 026583</t>
        </is>
      </c>
      <c r="N2" t="inlineStr">
        <is>
          <t>006UY00000NwqnPYAR</t>
        </is>
      </c>
      <c r="O2" t="inlineStr">
        <is>
          <t>Gerard Abreo</t>
        </is>
      </c>
      <c r="P2" t="inlineStr">
        <is>
          <t>0034u00002ZgaxXAAR</t>
        </is>
      </c>
      <c r="Q2" t="inlineStr">
        <is>
          <t>Heart Failure - Reduced Ejection Fraction</t>
        </is>
      </c>
      <c r="R2" t="inlineStr">
        <is>
          <t>De novo</t>
        </is>
      </c>
      <c r="S2" t="n">
        <v>1</v>
      </c>
      <c r="T2" t="n">
        <v>1</v>
      </c>
      <c r="U2" t="n">
        <v>1</v>
      </c>
      <c r="V2" t="n">
        <v>28000</v>
      </c>
      <c r="W2" t="n">
        <v>28676.13636363636</v>
      </c>
      <c r="X2" t="n">
        <v>1</v>
      </c>
      <c r="Y2" t="n">
        <v>28000</v>
      </c>
      <c r="Z2" t="n">
        <v>1672407.12</v>
      </c>
      <c r="AA2" t="n">
        <v>2229876.1599</v>
      </c>
      <c r="AB2" t="n">
        <v>0.0209</v>
      </c>
      <c r="AC2" t="n">
        <v>0.0418</v>
      </c>
      <c r="AD2" t="n">
        <v>304509.8572938689</v>
      </c>
      <c r="AE2" t="n">
        <v>12</v>
      </c>
      <c r="AF2" t="n">
        <v>12</v>
      </c>
      <c r="AG2" t="n">
        <v>28676.13636363636</v>
      </c>
      <c r="AH2" t="n">
        <v>0</v>
      </c>
      <c r="AI2" t="n">
        <v>599.33125</v>
      </c>
      <c r="AJ2" t="n">
        <v>0</v>
      </c>
    </row>
    <row r="3">
      <c r="A3" t="inlineStr">
        <is>
          <t>THE SYNDICATE</t>
        </is>
      </c>
      <c r="B3" t="inlineStr">
        <is>
          <t>RE_03</t>
        </is>
      </c>
      <c r="C3" t="inlineStr">
        <is>
          <t>scroxdale@cvrx.com</t>
        </is>
      </c>
      <c r="D3" t="inlineStr">
        <is>
          <t>ahilovsky@cvrx.com</t>
        </is>
      </c>
      <c r="E3" s="51" t="n">
        <v>45874</v>
      </c>
      <c r="F3" t="inlineStr">
        <is>
          <t>2025_08</t>
        </is>
      </c>
      <c r="G3" t="inlineStr">
        <is>
          <t>2025_Q3</t>
        </is>
      </c>
      <c r="H3" s="51" t="n">
        <v>45874</v>
      </c>
      <c r="I3" t="inlineStr">
        <is>
          <t>2025_08</t>
        </is>
      </c>
      <c r="J3" t="inlineStr">
        <is>
          <t>2025_Q3</t>
        </is>
      </c>
      <c r="K3" t="inlineStr">
        <is>
          <t>Methodist Hospital</t>
        </is>
      </c>
      <c r="L3" t="inlineStr">
        <is>
          <t>0014u00001pyU5wAAE</t>
        </is>
      </c>
      <c r="M3" t="inlineStr">
        <is>
          <t>METHSA01 026088</t>
        </is>
      </c>
      <c r="N3" t="inlineStr">
        <is>
          <t>006UY00000Mtf97YAB</t>
        </is>
      </c>
      <c r="O3" t="inlineStr">
        <is>
          <t>Michael Kwan</t>
        </is>
      </c>
      <c r="P3" t="inlineStr">
        <is>
          <t>0034u00002XvqFJAAZ</t>
        </is>
      </c>
      <c r="Q3" t="inlineStr">
        <is>
          <t>Heart Failure - Reduced Ejection Fraction</t>
        </is>
      </c>
      <c r="R3" t="inlineStr">
        <is>
          <t>De novo</t>
        </is>
      </c>
      <c r="S3" t="n">
        <v>1</v>
      </c>
      <c r="T3" t="n">
        <v>1</v>
      </c>
      <c r="U3" t="n">
        <v>0</v>
      </c>
      <c r="V3" t="n">
        <v>0</v>
      </c>
      <c r="W3" t="n">
        <v>28676.13636363636</v>
      </c>
      <c r="X3" t="n">
        <v>0</v>
      </c>
      <c r="Y3" t="n">
        <v>0</v>
      </c>
      <c r="Z3" t="n">
        <v>1672407.12</v>
      </c>
      <c r="AA3" t="n">
        <v>2229876.1599</v>
      </c>
      <c r="AB3" t="n">
        <v>0.0209</v>
      </c>
      <c r="AC3" t="n">
        <v>0.0418</v>
      </c>
      <c r="AD3" t="n">
        <v>333185.9936575053</v>
      </c>
      <c r="AE3" t="n">
        <v>13</v>
      </c>
      <c r="AF3" t="n">
        <v>12</v>
      </c>
      <c r="AG3" t="n">
        <v>28676.13636363636</v>
      </c>
      <c r="AH3" t="n">
        <v>0</v>
      </c>
      <c r="AI3" t="n">
        <v>599.33125</v>
      </c>
      <c r="AJ3" t="n">
        <v>0</v>
      </c>
    </row>
    <row r="4">
      <c r="A4" t="inlineStr">
        <is>
          <t>THE SYNDICATE</t>
        </is>
      </c>
      <c r="B4" t="inlineStr">
        <is>
          <t>RE_03</t>
        </is>
      </c>
      <c r="C4" t="inlineStr">
        <is>
          <t>scroxdale@cvrx.com</t>
        </is>
      </c>
      <c r="D4" t="inlineStr">
        <is>
          <t>ahilovsky@cvrx.com</t>
        </is>
      </c>
      <c r="E4" s="51" t="n">
        <v>45881</v>
      </c>
      <c r="F4" t="inlineStr">
        <is>
          <t>2025_08</t>
        </is>
      </c>
      <c r="G4" t="inlineStr">
        <is>
          <t>2025_Q3</t>
        </is>
      </c>
      <c r="H4" s="51" t="n">
        <v>45838</v>
      </c>
      <c r="I4" t="inlineStr">
        <is>
          <t>2025_06</t>
        </is>
      </c>
      <c r="J4" t="inlineStr">
        <is>
          <t>2025_Q2</t>
        </is>
      </c>
      <c r="K4" t="inlineStr">
        <is>
          <t>University Health System</t>
        </is>
      </c>
      <c r="L4" t="inlineStr">
        <is>
          <t>0010g00001kNUiMAAW</t>
        </is>
      </c>
      <c r="M4" t="inlineStr">
        <is>
          <t>UTSA 024747</t>
        </is>
      </c>
      <c r="N4" t="inlineStr">
        <is>
          <t>006UY00000KP26MYAT</t>
        </is>
      </c>
      <c r="O4" t="inlineStr">
        <is>
          <t>Zalmen Blanck</t>
        </is>
      </c>
      <c r="P4" t="inlineStr">
        <is>
          <t>0034u00002ZgaoxAAB</t>
        </is>
      </c>
      <c r="Q4" t="inlineStr">
        <is>
          <t>Heart Failure - Reduced Ejection Fraction</t>
        </is>
      </c>
      <c r="R4" t="inlineStr">
        <is>
          <t>De novo</t>
        </is>
      </c>
      <c r="S4" t="n">
        <v>1</v>
      </c>
      <c r="T4" t="n">
        <v>1</v>
      </c>
      <c r="U4" t="n">
        <v>1</v>
      </c>
      <c r="V4" t="n">
        <v>35000</v>
      </c>
      <c r="W4" t="n">
        <v>35000</v>
      </c>
      <c r="X4" t="n">
        <v>0</v>
      </c>
      <c r="Y4" t="n">
        <v>35000</v>
      </c>
      <c r="Z4" t="n">
        <v>1672407.12</v>
      </c>
      <c r="AA4" t="n">
        <v>2229876.1599</v>
      </c>
      <c r="AB4" t="n">
        <v>0.0209</v>
      </c>
      <c r="AC4" t="n">
        <v>0.0418</v>
      </c>
      <c r="AD4" t="n">
        <v>368185.9936575053</v>
      </c>
      <c r="AE4" t="n">
        <v>42</v>
      </c>
      <c r="AF4" t="n">
        <v>13</v>
      </c>
      <c r="AG4" t="n">
        <v>35000</v>
      </c>
      <c r="AH4" t="n">
        <v>0</v>
      </c>
      <c r="AI4" t="n">
        <v>731.5</v>
      </c>
      <c r="AJ4" t="n">
        <v>0</v>
      </c>
    </row>
    <row r="5">
      <c r="A5" t="inlineStr">
        <is>
          <t>THE SYNDICATE</t>
        </is>
      </c>
      <c r="B5" t="inlineStr">
        <is>
          <t>RE_03</t>
        </is>
      </c>
      <c r="C5" t="inlineStr">
        <is>
          <t>scroxdale@cvrx.com</t>
        </is>
      </c>
      <c r="D5" t="inlineStr">
        <is>
          <t>jgonzalez@cvrx.com</t>
        </is>
      </c>
      <c r="E5" s="51" t="n">
        <v>45884</v>
      </c>
      <c r="F5" t="inlineStr">
        <is>
          <t>2025_08</t>
        </is>
      </c>
      <c r="G5" t="inlineStr">
        <is>
          <t>2025_Q3</t>
        </is>
      </c>
      <c r="H5" s="51" t="n">
        <v>45882</v>
      </c>
      <c r="I5" t="inlineStr">
        <is>
          <t>2025_08</t>
        </is>
      </c>
      <c r="J5" t="inlineStr">
        <is>
          <t>2025_Q3</t>
        </is>
      </c>
      <c r="K5" t="inlineStr">
        <is>
          <t>Memorial Hermann Southwest Hospital</t>
        </is>
      </c>
      <c r="L5" t="inlineStr">
        <is>
          <t>0014u00001u6xJGAAY</t>
        </is>
      </c>
      <c r="M5" t="inlineStr">
        <is>
          <t>HOU545 025599</t>
        </is>
      </c>
      <c r="N5" t="inlineStr">
        <is>
          <t>006UY00000M00Y1YAJ</t>
        </is>
      </c>
      <c r="O5" t="inlineStr">
        <is>
          <t>Paul Dao</t>
        </is>
      </c>
      <c r="P5" t="inlineStr">
        <is>
          <t>003UY00000f0qYUYAY</t>
        </is>
      </c>
      <c r="Q5" t="inlineStr">
        <is>
          <t>Heart Failure - Reduced Ejection Fraction</t>
        </is>
      </c>
      <c r="R5" t="inlineStr">
        <is>
          <t>De novo</t>
        </is>
      </c>
      <c r="S5" t="n">
        <v>1</v>
      </c>
      <c r="T5" t="n">
        <v>1</v>
      </c>
      <c r="U5" t="n">
        <v>1</v>
      </c>
      <c r="V5" t="n">
        <v>35000</v>
      </c>
      <c r="W5" t="n">
        <v>35000</v>
      </c>
      <c r="X5" t="n">
        <v>0</v>
      </c>
      <c r="Y5" t="n">
        <v>35000</v>
      </c>
      <c r="Z5" t="n">
        <v>1672407.12</v>
      </c>
      <c r="AA5" t="n">
        <v>2229876.1599</v>
      </c>
      <c r="AB5" t="n">
        <v>0.0209</v>
      </c>
      <c r="AC5" t="n">
        <v>0.0418</v>
      </c>
      <c r="AD5" t="n">
        <v>403185.9936575053</v>
      </c>
      <c r="AE5" t="n">
        <v>14</v>
      </c>
      <c r="AF5" t="n">
        <v>14</v>
      </c>
      <c r="AG5" t="n">
        <v>35000</v>
      </c>
      <c r="AH5" t="n">
        <v>0</v>
      </c>
      <c r="AI5" t="n">
        <v>731.5</v>
      </c>
      <c r="AJ5" t="n">
        <v>0</v>
      </c>
    </row>
    <row r="6">
      <c r="A6" t="inlineStr">
        <is>
          <t>THE SYNDICATE</t>
        </is>
      </c>
      <c r="B6" t="inlineStr">
        <is>
          <t>RE_03</t>
        </is>
      </c>
      <c r="C6" t="inlineStr">
        <is>
          <t>scroxdale@cvrx.com</t>
        </is>
      </c>
      <c r="D6" t="inlineStr">
        <is>
          <t>jgonzalez@cvrx.com</t>
        </is>
      </c>
      <c r="E6" s="51" t="n">
        <v>45888</v>
      </c>
      <c r="F6" t="inlineStr">
        <is>
          <t>2025_08</t>
        </is>
      </c>
      <c r="G6" t="inlineStr">
        <is>
          <t>2025_Q3</t>
        </is>
      </c>
      <c r="H6" s="51" t="n">
        <v>45887</v>
      </c>
      <c r="I6" t="inlineStr">
        <is>
          <t>2025_08</t>
        </is>
      </c>
      <c r="J6" t="inlineStr">
        <is>
          <t>2025_Q3</t>
        </is>
      </c>
      <c r="K6" t="inlineStr">
        <is>
          <t>Hca Houston Hc Kingwood</t>
        </is>
      </c>
      <c r="L6" t="inlineStr">
        <is>
          <t>0014u00001pyZnXAAU</t>
        </is>
      </c>
      <c r="M6" t="inlineStr">
        <is>
          <t>CVR419 026157</t>
        </is>
      </c>
      <c r="N6" t="inlineStr">
        <is>
          <t>006UY00000N0tk1YAB</t>
        </is>
      </c>
      <c r="O6" t="inlineStr">
        <is>
          <t>Harsh Patel</t>
        </is>
      </c>
      <c r="P6" t="inlineStr">
        <is>
          <t>003UY00000JFGZNYA5</t>
        </is>
      </c>
      <c r="Q6" t="inlineStr">
        <is>
          <t>Heart Failure - Reduced Ejection Fraction</t>
        </is>
      </c>
      <c r="R6" t="inlineStr">
        <is>
          <t>De novo</t>
        </is>
      </c>
      <c r="S6" t="n">
        <v>1</v>
      </c>
      <c r="T6" t="n">
        <v>1</v>
      </c>
      <c r="U6" t="n">
        <v>1</v>
      </c>
      <c r="V6" t="n">
        <v>28000</v>
      </c>
      <c r="W6" t="n">
        <v>28676.13636363636</v>
      </c>
      <c r="X6" t="n">
        <v>1</v>
      </c>
      <c r="Y6" t="n">
        <v>28000</v>
      </c>
      <c r="Z6" t="n">
        <v>1672407.12</v>
      </c>
      <c r="AA6" t="n">
        <v>2229876.1599</v>
      </c>
      <c r="AB6" t="n">
        <v>0.0209</v>
      </c>
      <c r="AC6" t="n">
        <v>0.0418</v>
      </c>
      <c r="AD6" t="n">
        <v>431862.1300211416</v>
      </c>
      <c r="AE6" t="n">
        <v>17</v>
      </c>
      <c r="AF6" t="n">
        <v>15</v>
      </c>
      <c r="AG6" t="n">
        <v>28676.13636363636</v>
      </c>
      <c r="AH6" t="n">
        <v>0</v>
      </c>
      <c r="AI6" t="n">
        <v>599.33125</v>
      </c>
      <c r="AJ6" t="n">
        <v>0</v>
      </c>
    </row>
    <row r="7">
      <c r="A7" t="inlineStr">
        <is>
          <t>THE SYNDICATE</t>
        </is>
      </c>
      <c r="B7" t="inlineStr">
        <is>
          <t>RE_03</t>
        </is>
      </c>
      <c r="C7" t="inlineStr">
        <is>
          <t>scroxdale@cvrx.com</t>
        </is>
      </c>
      <c r="D7" t="inlineStr">
        <is>
          <t>sherron@cvrx.com</t>
        </is>
      </c>
      <c r="E7" s="51" t="n">
        <v>45890</v>
      </c>
      <c r="F7" t="inlineStr">
        <is>
          <t>2025_08</t>
        </is>
      </c>
      <c r="G7" t="inlineStr">
        <is>
          <t>2025_Q3</t>
        </is>
      </c>
      <c r="H7" s="51" t="n">
        <v>45889</v>
      </c>
      <c r="I7" t="inlineStr">
        <is>
          <t>2025_08</t>
        </is>
      </c>
      <c r="J7" t="inlineStr">
        <is>
          <t>2025_Q3</t>
        </is>
      </c>
      <c r="K7" t="inlineStr">
        <is>
          <t>Heart Hospital Of Austin</t>
        </is>
      </c>
      <c r="L7" t="inlineStr">
        <is>
          <t>0014u00001wpsvFAAQ</t>
        </is>
      </c>
      <c r="M7" t="inlineStr">
        <is>
          <t>HHA01 026433</t>
        </is>
      </c>
      <c r="N7" t="inlineStr">
        <is>
          <t>006UY00000Ncxt3YAB</t>
        </is>
      </c>
      <c r="O7" t="inlineStr">
        <is>
          <t>Kunjan Bhatt</t>
        </is>
      </c>
      <c r="P7" t="inlineStr">
        <is>
          <t>0034u00002ZgAwsAAF</t>
        </is>
      </c>
      <c r="Q7" t="inlineStr">
        <is>
          <t>Heart Failure - Reduced Ejection Fraction</t>
        </is>
      </c>
      <c r="R7" t="inlineStr">
        <is>
          <t>De novo</t>
        </is>
      </c>
      <c r="S7" t="n">
        <v>1</v>
      </c>
      <c r="T7" t="n">
        <v>1</v>
      </c>
      <c r="U7" t="n">
        <v>1</v>
      </c>
      <c r="V7" t="n">
        <v>28000</v>
      </c>
      <c r="W7" t="n">
        <v>28676.13636363636</v>
      </c>
      <c r="X7" t="n">
        <v>1</v>
      </c>
      <c r="Y7" t="n">
        <v>28000</v>
      </c>
      <c r="Z7" t="n">
        <v>1672407.12</v>
      </c>
      <c r="AA7" t="n">
        <v>2229876.1599</v>
      </c>
      <c r="AB7" t="n">
        <v>0.0209</v>
      </c>
      <c r="AC7" t="n">
        <v>0.0418</v>
      </c>
      <c r="AD7" t="n">
        <v>460538.266384778</v>
      </c>
      <c r="AE7" t="n">
        <v>18</v>
      </c>
      <c r="AF7" t="n">
        <v>16</v>
      </c>
      <c r="AG7" t="n">
        <v>28676.13636363636</v>
      </c>
      <c r="AH7" t="n">
        <v>0</v>
      </c>
      <c r="AI7" t="n">
        <v>599.33125</v>
      </c>
      <c r="AJ7" t="n">
        <v>0</v>
      </c>
    </row>
    <row r="8">
      <c r="A8" t="inlineStr">
        <is>
          <t>THE SYNDICATE</t>
        </is>
      </c>
      <c r="B8" t="inlineStr">
        <is>
          <t>RE_03</t>
        </is>
      </c>
      <c r="C8" t="inlineStr">
        <is>
          <t>scroxdale@cvrx.com</t>
        </is>
      </c>
      <c r="D8" t="inlineStr">
        <is>
          <t>jgonzalez@cvrx.com</t>
        </is>
      </c>
      <c r="E8" s="51" t="n">
        <v>45890</v>
      </c>
      <c r="F8" t="inlineStr">
        <is>
          <t>2025_08</t>
        </is>
      </c>
      <c r="G8" t="inlineStr">
        <is>
          <t>2025_Q3</t>
        </is>
      </c>
      <c r="H8" s="51" t="n">
        <v>45884</v>
      </c>
      <c r="I8" t="inlineStr">
        <is>
          <t>2025_08</t>
        </is>
      </c>
      <c r="J8" t="inlineStr">
        <is>
          <t>2025_Q3</t>
        </is>
      </c>
      <c r="K8" t="inlineStr">
        <is>
          <t>Memorial Hermann Memorial City Medical Center</t>
        </is>
      </c>
      <c r="L8" t="inlineStr">
        <is>
          <t>0010g00001mL5fJAAS</t>
        </is>
      </c>
      <c r="M8" t="inlineStr">
        <is>
          <t>MHMC 025786</t>
        </is>
      </c>
      <c r="N8" t="inlineStr">
        <is>
          <t>006UY00000MFnADYA1</t>
        </is>
      </c>
      <c r="O8" t="inlineStr">
        <is>
          <t>Phil Berman</t>
        </is>
      </c>
      <c r="P8" t="inlineStr">
        <is>
          <t>0034u00002gq2KpAAI</t>
        </is>
      </c>
      <c r="Q8" t="inlineStr">
        <is>
          <t>Heart Failure - Reduced Ejection Fraction</t>
        </is>
      </c>
      <c r="R8" t="inlineStr">
        <is>
          <t>De novo</t>
        </is>
      </c>
      <c r="S8" t="n">
        <v>1</v>
      </c>
      <c r="T8" t="n">
        <v>1</v>
      </c>
      <c r="U8" t="n">
        <v>1</v>
      </c>
      <c r="V8" t="n">
        <v>35000</v>
      </c>
      <c r="W8" t="n">
        <v>35000</v>
      </c>
      <c r="X8" t="n">
        <v>0</v>
      </c>
      <c r="Y8" t="n">
        <v>35000</v>
      </c>
      <c r="Z8" t="n">
        <v>1672407.12</v>
      </c>
      <c r="AA8" t="n">
        <v>2229876.1599</v>
      </c>
      <c r="AB8" t="n">
        <v>0.0209</v>
      </c>
      <c r="AC8" t="n">
        <v>0.0418</v>
      </c>
      <c r="AD8" t="n">
        <v>495538.266384778</v>
      </c>
      <c r="AE8" t="n">
        <v>16</v>
      </c>
      <c r="AF8" t="n">
        <v>17</v>
      </c>
      <c r="AG8" t="n">
        <v>35000</v>
      </c>
      <c r="AH8" t="n">
        <v>0</v>
      </c>
      <c r="AI8" t="n">
        <v>731.5</v>
      </c>
      <c r="AJ8" t="n">
        <v>0</v>
      </c>
    </row>
    <row r="9">
      <c r="A9" t="inlineStr">
        <is>
          <t>THE SYNDICATE</t>
        </is>
      </c>
      <c r="B9" t="inlineStr">
        <is>
          <t>RE_03</t>
        </is>
      </c>
      <c r="C9" t="inlineStr">
        <is>
          <t>scroxdale@cvrx.com</t>
        </is>
      </c>
      <c r="D9" t="inlineStr">
        <is>
          <t>cfoglia@cvrx.com</t>
        </is>
      </c>
      <c r="E9" s="51" t="n">
        <v>45897</v>
      </c>
      <c r="F9" t="inlineStr">
        <is>
          <t>2025_08</t>
        </is>
      </c>
      <c r="G9" t="inlineStr">
        <is>
          <t>2025_Q3</t>
        </is>
      </c>
      <c r="H9" s="51" t="n">
        <v>45895</v>
      </c>
      <c r="I9" t="inlineStr">
        <is>
          <t>2025_08</t>
        </is>
      </c>
      <c r="J9" t="inlineStr">
        <is>
          <t>2025_Q3</t>
        </is>
      </c>
      <c r="K9" t="inlineStr">
        <is>
          <t>Chritus Health Mother Frances Tyler</t>
        </is>
      </c>
      <c r="L9" t="inlineStr">
        <is>
          <t>001UY00000F6OlNYAV</t>
        </is>
      </c>
      <c r="M9" t="inlineStr">
        <is>
          <t>CHMFT 026938</t>
        </is>
      </c>
      <c r="N9" t="inlineStr">
        <is>
          <t>006UY00000OhBbtYAF</t>
        </is>
      </c>
      <c r="O9" t="inlineStr">
        <is>
          <t>Hector Ceccoli</t>
        </is>
      </c>
      <c r="P9" t="inlineStr">
        <is>
          <t>0034u00002r0KQnAAM</t>
        </is>
      </c>
      <c r="Q9" t="inlineStr">
        <is>
          <t>Heart Failure - Reduced Ejection Fraction</t>
        </is>
      </c>
      <c r="R9" t="inlineStr">
        <is>
          <t>De novo</t>
        </is>
      </c>
      <c r="S9" t="n">
        <v>1</v>
      </c>
      <c r="T9" t="n">
        <v>1</v>
      </c>
      <c r="U9" t="n">
        <v>1</v>
      </c>
      <c r="V9" t="n">
        <v>35000</v>
      </c>
      <c r="W9" t="n">
        <v>35000</v>
      </c>
      <c r="X9" t="n">
        <v>0</v>
      </c>
      <c r="Y9" t="n">
        <v>35000</v>
      </c>
      <c r="Z9" t="n">
        <v>1672407.12</v>
      </c>
      <c r="AA9" t="n">
        <v>2229876.1599</v>
      </c>
      <c r="AB9" t="n">
        <v>0.0209</v>
      </c>
      <c r="AC9" t="n">
        <v>0.0418</v>
      </c>
      <c r="AD9" t="n">
        <v>530538.266384778</v>
      </c>
      <c r="AE9" t="n">
        <v>23</v>
      </c>
      <c r="AF9" t="n">
        <v>18</v>
      </c>
      <c r="AG9" t="n">
        <v>35000</v>
      </c>
      <c r="AH9" t="n">
        <v>0</v>
      </c>
      <c r="AI9" t="n">
        <v>731.5</v>
      </c>
      <c r="AJ9" t="n">
        <v>0</v>
      </c>
    </row>
    <row r="10">
      <c r="A10" t="inlineStr">
        <is>
          <t>THE SYNDICATE</t>
        </is>
      </c>
      <c r="B10" t="inlineStr">
        <is>
          <t>RE_03</t>
        </is>
      </c>
      <c r="C10" t="inlineStr">
        <is>
          <t>scroxdale@cvrx.com</t>
        </is>
      </c>
      <c r="D10" t="inlineStr">
        <is>
          <t>jgonzalez@cvrx.com</t>
        </is>
      </c>
      <c r="E10" s="51" t="n">
        <v>45898</v>
      </c>
      <c r="F10" t="inlineStr">
        <is>
          <t>2025_08</t>
        </is>
      </c>
      <c r="G10" t="inlineStr">
        <is>
          <t>2025_Q3</t>
        </is>
      </c>
      <c r="H10" s="51" t="n">
        <v>45895</v>
      </c>
      <c r="I10" t="inlineStr">
        <is>
          <t>2025_08</t>
        </is>
      </c>
      <c r="J10" t="inlineStr">
        <is>
          <t>2025_Q3</t>
        </is>
      </c>
      <c r="K10" t="inlineStr">
        <is>
          <t>Methodist Hospital-Houston Methodist</t>
        </is>
      </c>
      <c r="L10" t="inlineStr">
        <is>
          <t>0017000001Lsj1MAAR</t>
        </is>
      </c>
      <c r="M10" t="inlineStr">
        <is>
          <t>IAH01 025261</t>
        </is>
      </c>
      <c r="N10" t="inlineStr">
        <is>
          <t>006UY00000LJdeHYAT</t>
        </is>
      </c>
      <c r="O10" t="inlineStr">
        <is>
          <t>Rayan Yousefzai</t>
        </is>
      </c>
      <c r="P10" t="inlineStr">
        <is>
          <t>0034u00002ZgAq3AAF</t>
        </is>
      </c>
      <c r="Q10" t="inlineStr">
        <is>
          <t>Heart Failure - Reduced Ejection Fraction</t>
        </is>
      </c>
      <c r="R10" t="inlineStr">
        <is>
          <t>De novo</t>
        </is>
      </c>
      <c r="S10" t="n">
        <v>1</v>
      </c>
      <c r="T10" t="n">
        <v>1</v>
      </c>
      <c r="U10" t="n">
        <v>1</v>
      </c>
      <c r="V10" t="n">
        <v>35000</v>
      </c>
      <c r="W10" t="n">
        <v>35000</v>
      </c>
      <c r="X10" t="n">
        <v>0</v>
      </c>
      <c r="Y10" t="n">
        <v>35000</v>
      </c>
      <c r="Z10" t="n">
        <v>1672407.12</v>
      </c>
      <c r="AA10" t="n">
        <v>2229876.1599</v>
      </c>
      <c r="AB10" t="n">
        <v>0.0209</v>
      </c>
      <c r="AC10" t="n">
        <v>0.0418</v>
      </c>
      <c r="AD10" t="n">
        <v>565538.266384778</v>
      </c>
      <c r="AE10" t="n">
        <v>24</v>
      </c>
      <c r="AF10" t="n">
        <v>19</v>
      </c>
      <c r="AG10" t="n">
        <v>35000</v>
      </c>
      <c r="AH10" t="n">
        <v>0</v>
      </c>
      <c r="AI10" t="n">
        <v>731.5</v>
      </c>
      <c r="AJ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2025-09-19T16:43:52Z</dcterms:modified>
  <cp:lastModifiedBy>Alan Sorensen</cp:lastModifiedBy>
  <cp:lastPrinted>2024-06-11T23:23:35Z</cp:lastPrinted>
</cp:coreProperties>
</file>