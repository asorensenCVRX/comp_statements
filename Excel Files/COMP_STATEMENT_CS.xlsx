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sorensen\PycharmProjects\comp_statements\Excel Files\"/>
    </mc:Choice>
  </mc:AlternateContent>
  <xr:revisionPtr revIDLastSave="0" documentId="13_ncr:1_{F97996BD-BAB4-401D-9867-CE2717328770}" xr6:coauthVersionLast="47" xr6:coauthVersionMax="47" xr10:uidLastSave="{00000000-0000-0000-0000-000000000000}"/>
  <bookViews>
    <workbookView xWindow="17715" yWindow="1425" windowWidth="29985" windowHeight="18165" xr2:uid="{00000000-000D-0000-FFFF-FFFF00000000}"/>
  </bookViews>
  <sheets>
    <sheet name="STATEMENT" sheetId="1" r:id="rId1"/>
    <sheet name="payout" sheetId="2" r:id="rId2"/>
    <sheet name="info" sheetId="3" r:id="rId3"/>
    <sheet name="detai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" l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22" i="1"/>
  <c r="G47" i="1"/>
  <c r="D47" i="1"/>
  <c r="B47" i="1"/>
  <c r="G46" i="1"/>
  <c r="D46" i="1"/>
  <c r="B46" i="1"/>
  <c r="G45" i="1"/>
  <c r="D45" i="1"/>
  <c r="B45" i="1"/>
  <c r="G44" i="1"/>
  <c r="D44" i="1"/>
  <c r="B44" i="1"/>
  <c r="G43" i="1"/>
  <c r="D43" i="1"/>
  <c r="B43" i="1"/>
  <c r="G42" i="1"/>
  <c r="D42" i="1"/>
  <c r="B42" i="1"/>
  <c r="G41" i="1"/>
  <c r="D41" i="1"/>
  <c r="B41" i="1"/>
  <c r="G40" i="1"/>
  <c r="D40" i="1"/>
  <c r="B40" i="1"/>
  <c r="G39" i="1"/>
  <c r="D39" i="1"/>
  <c r="B39" i="1"/>
  <c r="G38" i="1"/>
  <c r="D38" i="1"/>
  <c r="B38" i="1"/>
  <c r="G37" i="1"/>
  <c r="D37" i="1"/>
  <c r="B37" i="1"/>
  <c r="G36" i="1"/>
  <c r="D36" i="1"/>
  <c r="B36" i="1"/>
  <c r="G35" i="1"/>
  <c r="D35" i="1"/>
  <c r="B35" i="1"/>
  <c r="G34" i="1"/>
  <c r="D34" i="1"/>
  <c r="B34" i="1"/>
  <c r="G33" i="1"/>
  <c r="D33" i="1"/>
  <c r="B33" i="1"/>
  <c r="G32" i="1"/>
  <c r="D32" i="1"/>
  <c r="B32" i="1"/>
  <c r="G31" i="1"/>
  <c r="D31" i="1"/>
  <c r="B31" i="1"/>
  <c r="G30" i="1"/>
  <c r="D30" i="1"/>
  <c r="B30" i="1"/>
  <c r="G29" i="1"/>
  <c r="D29" i="1"/>
  <c r="B29" i="1"/>
  <c r="G28" i="1"/>
  <c r="D28" i="1"/>
  <c r="B28" i="1"/>
  <c r="G27" i="1"/>
  <c r="D27" i="1"/>
  <c r="B27" i="1"/>
  <c r="G26" i="1"/>
  <c r="D26" i="1"/>
  <c r="B26" i="1"/>
  <c r="G25" i="1"/>
  <c r="D25" i="1"/>
  <c r="B25" i="1"/>
  <c r="G24" i="1"/>
  <c r="D24" i="1"/>
  <c r="B24" i="1"/>
  <c r="G23" i="1"/>
  <c r="D23" i="1"/>
  <c r="B23" i="1"/>
  <c r="G22" i="1"/>
  <c r="D22" i="1"/>
  <c r="B22" i="1"/>
  <c r="G17" i="1"/>
  <c r="G16" i="1"/>
  <c r="D16" i="1" s="1"/>
  <c r="G15" i="1"/>
  <c r="D15" i="1" s="1"/>
  <c r="G14" i="1"/>
  <c r="D14" i="1" s="1"/>
  <c r="G13" i="1"/>
  <c r="G11" i="1"/>
  <c r="G12" i="1" s="1"/>
  <c r="C11" i="1"/>
  <c r="G10" i="1"/>
  <c r="C10" i="1"/>
  <c r="C12" i="1" s="1"/>
  <c r="B6" i="1"/>
  <c r="B4" i="1"/>
</calcChain>
</file>

<file path=xl/sharedStrings.xml><?xml version="1.0" encoding="utf-8"?>
<sst xmlns="http://schemas.openxmlformats.org/spreadsheetml/2006/main" count="305" uniqueCount="143">
  <si>
    <t xml:space="preserve">CVRx US Sales Incentive Compensation Statement </t>
  </si>
  <si>
    <t>Clinical Specialist</t>
  </si>
  <si>
    <t>Sales Performance</t>
  </si>
  <si>
    <t>Final Payment</t>
  </si>
  <si>
    <t>YTD Region Sales</t>
  </si>
  <si>
    <t>FY Territory SI Target</t>
  </si>
  <si>
    <t>FY Plan</t>
  </si>
  <si>
    <t>FY Territory SI Earned</t>
  </si>
  <si>
    <t>% to FY Plan</t>
  </si>
  <si>
    <t>Less Prior Paid</t>
  </si>
  <si>
    <t>Region Payout</t>
  </si>
  <si>
    <t>Target Payout</t>
  </si>
  <si>
    <t>Guarantee Adjustment</t>
  </si>
  <si>
    <t>Other Adjustments</t>
  </si>
  <si>
    <t>Final Payout</t>
  </si>
  <si>
    <t xml:space="preserve">Opportunity Detail </t>
  </si>
  <si>
    <t>Account</t>
  </si>
  <si>
    <t>Opp Name</t>
  </si>
  <si>
    <t>Sales</t>
  </si>
  <si>
    <t>Units</t>
  </si>
  <si>
    <t>An * denotes a targeted payout</t>
  </si>
  <si>
    <t>YYYYMM</t>
  </si>
  <si>
    <t>EID</t>
  </si>
  <si>
    <t>YYYYQQ</t>
  </si>
  <si>
    <t>ROLE</t>
  </si>
  <si>
    <t>STATUS</t>
  </si>
  <si>
    <t>VALUE</t>
  </si>
  <si>
    <t>CATEGORY</t>
  </si>
  <si>
    <t>Notes</t>
  </si>
  <si>
    <t>2025_01</t>
  </si>
  <si>
    <t>zcolon@cvrx.com</t>
  </si>
  <si>
    <t>2025_Q1</t>
  </si>
  <si>
    <t>CS</t>
  </si>
  <si>
    <t>ACTIVE</t>
  </si>
  <si>
    <t>YTD_PO</t>
  </si>
  <si>
    <t>SALES</t>
  </si>
  <si>
    <t>REGIONAL_PO</t>
  </si>
  <si>
    <t>PO_AMT</t>
  </si>
  <si>
    <t>YTD_SALES</t>
  </si>
  <si>
    <t>%_FY_PLAN</t>
  </si>
  <si>
    <t>Name:</t>
  </si>
  <si>
    <t>Zilma Colon</t>
  </si>
  <si>
    <t>Email:</t>
  </si>
  <si>
    <t>RM:</t>
  </si>
  <si>
    <t>kryan@cvrx.com</t>
  </si>
  <si>
    <t>Territory:</t>
  </si>
  <si>
    <t>FLORIDA (COLON)</t>
  </si>
  <si>
    <t>Role:</t>
  </si>
  <si>
    <t>Clinical Sales Representative</t>
  </si>
  <si>
    <t>Base Bonus:</t>
  </si>
  <si>
    <t>Month:</t>
  </si>
  <si>
    <t>January</t>
  </si>
  <si>
    <t>Quota:</t>
  </si>
  <si>
    <t>SALES_CREDIT_CS_EMAIL</t>
  </si>
  <si>
    <t>NAME_REP</t>
  </si>
  <si>
    <t>REGION_NM</t>
  </si>
  <si>
    <t>REGION_ID</t>
  </si>
  <si>
    <t>CLOSEDATE</t>
  </si>
  <si>
    <t>CLOSE_YYYYMM</t>
  </si>
  <si>
    <t>CLOSE_YYYYQQ</t>
  </si>
  <si>
    <t>IMPLANTED_DT</t>
  </si>
  <si>
    <t>IMPLANTED_YYYYMM</t>
  </si>
  <si>
    <t>IMPLANTED_YYYYQQ</t>
  </si>
  <si>
    <t>ACCOUNT_INDICATION__C</t>
  </si>
  <si>
    <t>ACT_ID</t>
  </si>
  <si>
    <t>OPP_NAME</t>
  </si>
  <si>
    <t>OPP_ID</t>
  </si>
  <si>
    <t>PHYSICIAN</t>
  </si>
  <si>
    <t>PHYSICIAN_ID</t>
  </si>
  <si>
    <t>REG_ALIGN_ELIGIBLE?</t>
  </si>
  <si>
    <t>IMPLANT_UNITS</t>
  </si>
  <si>
    <t>REVENUE_UNITS</t>
  </si>
  <si>
    <t>REASON_FOR_IMPLANT__C</t>
  </si>
  <si>
    <t>STAGENAME</t>
  </si>
  <si>
    <t>TGT_PO</t>
  </si>
  <si>
    <t>PO_%</t>
  </si>
  <si>
    <t>TGT_TYPE</t>
  </si>
  <si>
    <t>PO_TYPE</t>
  </si>
  <si>
    <t>TGT_PO_YYYYMM</t>
  </si>
  <si>
    <t>FLORIDA (RYAN)</t>
  </si>
  <si>
    <t>RE_06</t>
  </si>
  <si>
    <t>Lawnwood Regional Medical Center &amp; Heart Institute</t>
  </si>
  <si>
    <t>0014u00001s9EqJAAU</t>
  </si>
  <si>
    <t>CRX323 023111</t>
  </si>
  <si>
    <t>006UY00000Gy4vaYAB</t>
  </si>
  <si>
    <t>De novo</t>
  </si>
  <si>
    <t>Revenue Recognized</t>
  </si>
  <si>
    <t>Jupiter Medical Center</t>
  </si>
  <si>
    <t>0014u00001pydEnAAI</t>
  </si>
  <si>
    <t>CVR480 021507</t>
  </si>
  <si>
    <t>006UY00000CyBjGYAV</t>
  </si>
  <si>
    <t>Neerav Shah</t>
  </si>
  <si>
    <t>0034u00002Zgb8sAAB</t>
  </si>
  <si>
    <t>CVR480 022550</t>
  </si>
  <si>
    <t>006UY00000FUrHaYAL</t>
  </si>
  <si>
    <t>Duccio Baldari</t>
  </si>
  <si>
    <t>0034u00002Zgb8tAAB</t>
  </si>
  <si>
    <t>Tallahassee Memorial Healthcare</t>
  </si>
  <si>
    <t>0014u00001s9EvjAAE</t>
  </si>
  <si>
    <t>CRX654 022804</t>
  </si>
  <si>
    <t>006UY00000G1kkLYAR</t>
  </si>
  <si>
    <t>Jfk Medical Center</t>
  </si>
  <si>
    <t>0010g00001jmQ8yAAE</t>
  </si>
  <si>
    <t>JFKMC 022714</t>
  </si>
  <si>
    <t>006UY00000FqH0vYAF</t>
  </si>
  <si>
    <t>Roberto Von Sohsten</t>
  </si>
  <si>
    <t>0030g00002RRzrmAAD</t>
  </si>
  <si>
    <t>Adventhealth Orlando</t>
  </si>
  <si>
    <t>0017000001LsiQyAAJ</t>
  </si>
  <si>
    <t>AHOrl 020710</t>
  </si>
  <si>
    <t>006UY00000BUbtRYAT</t>
  </si>
  <si>
    <t>Andrija Vidic</t>
  </si>
  <si>
    <t>003UY00000KjBTdYAN</t>
  </si>
  <si>
    <t>Adventhealth Tampa</t>
  </si>
  <si>
    <t>0014u00001pyTzEAAU</t>
  </si>
  <si>
    <t>CRX846 023088</t>
  </si>
  <si>
    <t>006UY00000GuvFKYAZ</t>
  </si>
  <si>
    <t>Natasha Mehta</t>
  </si>
  <si>
    <t>0034u00002x3ldMAAQ</t>
  </si>
  <si>
    <t>Adventhealth Wesley Chapel</t>
  </si>
  <si>
    <t>0014u00001s9El0AAE</t>
  </si>
  <si>
    <t>CRX09 022849</t>
  </si>
  <si>
    <t>006UY00000G7kMfYAJ</t>
  </si>
  <si>
    <t>Nader Chadda</t>
  </si>
  <si>
    <t>003UY000008qXgEYAU</t>
  </si>
  <si>
    <t>CRX654 023295</t>
  </si>
  <si>
    <t>006UY00000HSkfdYAD</t>
  </si>
  <si>
    <t>AHOrl 023033</t>
  </si>
  <si>
    <t>006UY00000Gd5eXYAR</t>
  </si>
  <si>
    <t>Sambit Mondal</t>
  </si>
  <si>
    <t>0034u00002as9soAAA</t>
  </si>
  <si>
    <t>CRX846 023260</t>
  </si>
  <si>
    <t>006UY00000HOG9tYAH</t>
  </si>
  <si>
    <t>Sunil Gupta</t>
  </si>
  <si>
    <t>0034u00002XvrttAAB</t>
  </si>
  <si>
    <t>Manatee Memorial Hospital Lp</t>
  </si>
  <si>
    <t>0014u00001nCHq9AAG</t>
  </si>
  <si>
    <t>ManMemMC 023283</t>
  </si>
  <si>
    <t>006UY00000HSQc6YAH</t>
  </si>
  <si>
    <t>Adventhealth Daytona Beach</t>
  </si>
  <si>
    <t>0010g00001jmQApAAM</t>
  </si>
  <si>
    <t>AHDB 023368</t>
  </si>
  <si>
    <t>006UY00000HfgEPYAZ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</si>
</sst>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yyyy\-mm\-dd\ hh:mm:ss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auto="1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double">
        <color indexed="64"/>
      </bottom>
      <diagonal/>
    </border>
    <border>
      <left/>
      <right style="hair">
        <color indexed="64"/>
      </right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/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4" fontId="1" fillId="0" borderId="0"/>
    <xf numFmtId="9" fontId="1" fillId="0" borderId="0"/>
  </cellStyleXfs>
  <cellXfs count="43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3" xfId="0" applyFont="1" applyBorder="1"/>
    <xf numFmtId="164" fontId="2" fillId="0" borderId="4" xfId="0" applyNumberFormat="1" applyFont="1" applyBorder="1" applyAlignment="1">
      <alignment horizontal="center"/>
    </xf>
    <xf numFmtId="0" fontId="5" fillId="0" borderId="0" xfId="0" applyFont="1"/>
    <xf numFmtId="164" fontId="2" fillId="0" borderId="7" xfId="0" applyNumberFormat="1" applyFont="1" applyBorder="1" applyAlignment="1">
      <alignment horizontal="center"/>
    </xf>
    <xf numFmtId="164" fontId="3" fillId="3" borderId="9" xfId="0" applyNumberFormat="1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65" fontId="2" fillId="0" borderId="5" xfId="1" applyNumberFormat="1" applyFont="1" applyBorder="1" applyAlignment="1">
      <alignment horizontal="center"/>
    </xf>
    <xf numFmtId="0" fontId="3" fillId="0" borderId="13" xfId="0" applyFont="1" applyBorder="1"/>
    <xf numFmtId="164" fontId="2" fillId="0" borderId="14" xfId="0" applyNumberFormat="1" applyFont="1" applyBorder="1" applyAlignment="1">
      <alignment horizontal="center"/>
    </xf>
    <xf numFmtId="164" fontId="2" fillId="0" borderId="9" xfId="0" applyNumberFormat="1" applyFont="1" applyBorder="1" applyAlignment="1">
      <alignment horizontal="center"/>
    </xf>
    <xf numFmtId="164" fontId="2" fillId="0" borderId="21" xfId="1" applyNumberFormat="1" applyFont="1" applyBorder="1" applyAlignment="1">
      <alignment horizontal="center"/>
    </xf>
    <xf numFmtId="165" fontId="2" fillId="0" borderId="4" xfId="2" applyNumberFormat="1" applyFont="1" applyBorder="1" applyAlignment="1">
      <alignment horizontal="center"/>
    </xf>
    <xf numFmtId="10" fontId="2" fillId="0" borderId="22" xfId="2" applyNumberFormat="1" applyFont="1" applyBorder="1" applyAlignment="1">
      <alignment horizontal="center"/>
    </xf>
    <xf numFmtId="165" fontId="2" fillId="0" borderId="7" xfId="1" applyNumberFormat="1" applyFont="1" applyBorder="1" applyAlignment="1">
      <alignment horizontal="center"/>
    </xf>
    <xf numFmtId="166" fontId="0" fillId="0" borderId="0" xfId="0" applyNumberFormat="1"/>
    <xf numFmtId="0" fontId="3" fillId="0" borderId="17" xfId="0" applyFont="1" applyBorder="1"/>
    <xf numFmtId="165" fontId="2" fillId="0" borderId="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 vertical="top"/>
    </xf>
    <xf numFmtId="0" fontId="3" fillId="0" borderId="17" xfId="0" applyFont="1" applyBorder="1" applyAlignment="1">
      <alignment horizontal="left"/>
    </xf>
    <xf numFmtId="0" fontId="0" fillId="0" borderId="18" xfId="0" applyBorder="1"/>
    <xf numFmtId="0" fontId="2" fillId="0" borderId="5" xfId="0" applyFont="1" applyBorder="1" applyAlignment="1">
      <alignment horizontal="left"/>
    </xf>
    <xf numFmtId="0" fontId="0" fillId="0" borderId="6" xfId="0" applyBorder="1"/>
    <xf numFmtId="0" fontId="2" fillId="0" borderId="5" xfId="0" applyFont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0" fillId="0" borderId="2" xfId="0" applyBorder="1"/>
    <xf numFmtId="0" fontId="0" fillId="0" borderId="1" xfId="0" applyBorder="1"/>
    <xf numFmtId="0" fontId="3" fillId="0" borderId="3" xfId="0" applyFont="1" applyBorder="1" applyAlignment="1">
      <alignment horizontal="left" wrapText="1"/>
    </xf>
    <xf numFmtId="0" fontId="4" fillId="4" borderId="5" xfId="0" applyFont="1" applyFill="1" applyBorder="1" applyAlignment="1">
      <alignment horizontal="center"/>
    </xf>
    <xf numFmtId="0" fontId="3" fillId="0" borderId="12" xfId="0" applyFont="1" applyBorder="1"/>
    <xf numFmtId="0" fontId="0" fillId="0" borderId="8" xfId="0" applyBorder="1"/>
    <xf numFmtId="0" fontId="3" fillId="0" borderId="15" xfId="0" applyFont="1" applyBorder="1" applyAlignment="1">
      <alignment horizontal="left" wrapText="1"/>
    </xf>
    <xf numFmtId="0" fontId="0" fillId="0" borderId="16" xfId="0" applyBorder="1"/>
    <xf numFmtId="0" fontId="4" fillId="2" borderId="5" xfId="0" applyFont="1" applyFill="1" applyBorder="1" applyAlignment="1">
      <alignment horizontal="center" vertical="center"/>
    </xf>
    <xf numFmtId="0" fontId="0" fillId="0" borderId="10" xfId="0" applyBorder="1"/>
    <xf numFmtId="0" fontId="3" fillId="0" borderId="3" xfId="0" applyFont="1" applyBorder="1" applyAlignment="1">
      <alignment horizontal="left"/>
    </xf>
    <xf numFmtId="0" fontId="3" fillId="0" borderId="19" xfId="0" applyFont="1" applyBorder="1"/>
    <xf numFmtId="0" fontId="0" fillId="0" borderId="20" xfId="0" applyBorder="1"/>
    <xf numFmtId="0" fontId="3" fillId="0" borderId="12" xfId="0" applyFont="1" applyBorder="1" applyAlignment="1">
      <alignment horizontal="left"/>
    </xf>
  </cellXfs>
  <cellStyles count="3">
    <cellStyle name="Currency" xfId="1" builtinId="4"/>
    <cellStyle name="Normal" xfId="0" builtinId="0"/>
    <cellStyle name="Percent" xfId="2" builtinId="5"/>
  </cellStyles>
  <dxfs count="1"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1104900</xdr:colOff>
      <xdr:row>1</xdr:row>
      <xdr:rowOff>104775</xdr:rowOff>
    </xdr:from>
    <xdr:to>
      <xdr:col>6</xdr:col>
      <xdr:colOff>922878</xdr:colOff>
      <xdr:row>3</xdr:row>
      <xdr:rowOff>182383</xdr:rowOff>
    </xdr:to>
    <xdr:pic>
      <xdr:nvPicPr>
        <xdr:cNvPr id="3" name="Picture 2" descr="A picture containing text, sign, dark&#10;&#10;Description automatically generated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24425" y="304800"/>
          <a:ext cx="938118" cy="32716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48"/>
  <sheetViews>
    <sheetView tabSelected="1" workbookViewId="0">
      <selection activeCell="C12" sqref="C12"/>
    </sheetView>
  </sheetViews>
  <sheetFormatPr defaultRowHeight="15.75" x14ac:dyDescent="0.25"/>
  <cols>
    <col min="1" max="1" width="0.7109375" style="1" customWidth="1"/>
    <col min="2" max="2" width="25.85546875" style="1" customWidth="1"/>
    <col min="3" max="3" width="12.85546875" style="1" customWidth="1"/>
    <col min="4" max="4" width="11.85546875" style="1" customWidth="1"/>
    <col min="5" max="5" width="10.28515625" style="1" customWidth="1"/>
    <col min="6" max="6" width="13.7109375" style="1" customWidth="1"/>
    <col min="7" max="7" width="14.7109375" style="1" customWidth="1"/>
  </cols>
  <sheetData>
    <row r="1" spans="1:7" ht="4.1500000000000004" customHeight="1" x14ac:dyDescent="0.25"/>
    <row r="2" spans="1:7" x14ac:dyDescent="0.25">
      <c r="B2" s="2" t="s">
        <v>0</v>
      </c>
    </row>
    <row r="3" spans="1:7" ht="4.1500000000000004" customHeight="1" x14ac:dyDescent="0.25"/>
    <row r="4" spans="1:7" x14ac:dyDescent="0.25">
      <c r="B4" s="2" t="str">
        <f>info!B1</f>
        <v>Zilma Colon</v>
      </c>
    </row>
    <row r="5" spans="1:7" x14ac:dyDescent="0.25">
      <c r="B5" s="2" t="s">
        <v>1</v>
      </c>
    </row>
    <row r="6" spans="1:7" x14ac:dyDescent="0.25">
      <c r="B6" s="2" t="str">
        <f>info!B7 &amp; " 2025"</f>
        <v>January 2025</v>
      </c>
    </row>
    <row r="7" spans="1:7" ht="4.1500000000000004" customHeight="1" x14ac:dyDescent="0.25"/>
    <row r="8" spans="1:7" ht="4.1500000000000004" customHeight="1" thickBot="1" x14ac:dyDescent="0.3"/>
    <row r="9" spans="1:7" x14ac:dyDescent="0.25">
      <c r="B9" s="28" t="s">
        <v>2</v>
      </c>
      <c r="C9" s="30"/>
      <c r="D9" s="3"/>
      <c r="E9" s="28" t="s">
        <v>3</v>
      </c>
      <c r="F9" s="29"/>
      <c r="G9" s="30"/>
    </row>
    <row r="10" spans="1:7" ht="16.5" customHeight="1" thickBot="1" x14ac:dyDescent="0.3">
      <c r="B10" s="4" t="s">
        <v>4</v>
      </c>
      <c r="C10" s="16">
        <f>_xlfn.IFNA(_xlfn.XLOOKUP("YTD_SALES", payout!$G:$G, payout!$F:$F), 0)</f>
        <v>625000</v>
      </c>
      <c r="E10" s="33" t="s">
        <v>5</v>
      </c>
      <c r="F10" s="34"/>
      <c r="G10" s="18">
        <f>info!B6</f>
        <v>23340</v>
      </c>
    </row>
    <row r="11" spans="1:7" ht="16.5" customHeight="1" thickTop="1" thickBot="1" x14ac:dyDescent="0.3">
      <c r="A11" s="6"/>
      <c r="B11" s="20" t="s">
        <v>6</v>
      </c>
      <c r="C11" s="21">
        <f>info!B8</f>
        <v>10686111.9882</v>
      </c>
      <c r="E11" s="40" t="s">
        <v>7</v>
      </c>
      <c r="F11" s="41"/>
      <c r="G11" s="15">
        <f>(_xlfn.XLOOKUP("REGIONAL_PO",payout!G:G,payout!F:F))</f>
        <v>1365.09</v>
      </c>
    </row>
    <row r="12" spans="1:7" ht="17.25" customHeight="1" thickTop="1" thickBot="1" x14ac:dyDescent="0.3">
      <c r="B12" s="12" t="s">
        <v>8</v>
      </c>
      <c r="C12" s="17">
        <f>C10/C11</f>
        <v>5.8487128030302149E-2</v>
      </c>
      <c r="E12" s="23" t="s">
        <v>9</v>
      </c>
      <c r="F12" s="24"/>
      <c r="G12" s="14">
        <f>G11-G13</f>
        <v>0</v>
      </c>
    </row>
    <row r="13" spans="1:7" ht="16.5" customHeight="1" thickTop="1" x14ac:dyDescent="0.25">
      <c r="E13" s="35" t="s">
        <v>10</v>
      </c>
      <c r="F13" s="36"/>
      <c r="G13" s="13">
        <f>IFERROR(_xlfn.XLOOKUP("REGIONAL_PO", payout!G:G,payout!F:F), 0)</f>
        <v>1365.09</v>
      </c>
    </row>
    <row r="14" spans="1:7" ht="16.5" customHeight="1" x14ac:dyDescent="0.25">
      <c r="D14" s="6">
        <f>IF(G14&gt;0, 1, 0)</f>
        <v>0</v>
      </c>
      <c r="E14" s="31" t="s">
        <v>11</v>
      </c>
      <c r="F14" s="26"/>
      <c r="G14" s="13">
        <f>IFERROR(_xlfn.XLOOKUP("TGT_PO", payout!G:G,payout!F:F), 0)</f>
        <v>0</v>
      </c>
    </row>
    <row r="15" spans="1:7" x14ac:dyDescent="0.25">
      <c r="D15" s="6">
        <f>IF(G15&gt;0, 1, 0)</f>
        <v>0</v>
      </c>
      <c r="E15" s="39" t="s">
        <v>12</v>
      </c>
      <c r="F15" s="26"/>
      <c r="G15" s="5">
        <f>IFERROR(_xlfn.XLOOKUP("GUR_AMT",payout!G:G,payout!F:F), 0)</f>
        <v>0</v>
      </c>
    </row>
    <row r="16" spans="1:7" ht="16.5" customHeight="1" thickBot="1" x14ac:dyDescent="0.3">
      <c r="D16" s="6">
        <f>IF(G16&gt;0, 1, 0)</f>
        <v>0</v>
      </c>
      <c r="E16" s="42" t="s">
        <v>13</v>
      </c>
      <c r="F16" s="34"/>
      <c r="G16" s="7">
        <f>IFERROR(_xlfn.XLOOKUP("ADJUSTMENTS", payout!G:G,payout!F:F), 0)</f>
        <v>0</v>
      </c>
    </row>
    <row r="17" spans="2:7" ht="17.25" customHeight="1" thickTop="1" thickBot="1" x14ac:dyDescent="0.3">
      <c r="E17" s="23" t="s">
        <v>14</v>
      </c>
      <c r="F17" s="24"/>
      <c r="G17" s="8">
        <f>_xlfn.XLOOKUP("PO_AMT", payout!G:G,payout!F:F)</f>
        <v>1365.09</v>
      </c>
    </row>
    <row r="18" spans="2:7" ht="16.5" customHeight="1" thickTop="1" x14ac:dyDescent="0.25"/>
    <row r="20" spans="2:7" x14ac:dyDescent="0.25">
      <c r="B20" s="37" t="s">
        <v>15</v>
      </c>
      <c r="C20" s="38"/>
      <c r="D20" s="38"/>
      <c r="E20" s="38"/>
      <c r="F20" s="38"/>
      <c r="G20" s="26"/>
    </row>
    <row r="21" spans="2:7" x14ac:dyDescent="0.25">
      <c r="B21" s="32" t="s">
        <v>16</v>
      </c>
      <c r="C21" s="26"/>
      <c r="D21" s="32" t="s">
        <v>17</v>
      </c>
      <c r="E21" s="26"/>
      <c r="F21" s="9" t="s">
        <v>18</v>
      </c>
      <c r="G21" s="9" t="s">
        <v>19</v>
      </c>
    </row>
    <row r="22" spans="2:7" x14ac:dyDescent="0.25">
      <c r="B22" s="25" t="str">
        <f>IF(LEN(detail!K2)&lt;1,"",detail!K2)</f>
        <v>Lawnwood Regional Medical Center &amp; Heart Institute</v>
      </c>
      <c r="C22" s="26"/>
      <c r="D22" s="27" t="str">
        <f>IF(LEN(detail!M2)&lt;1,"",detail!M2) &amp; IF(detail!X2&lt;&gt;0, "*", "")</f>
        <v>CRX323 023111</v>
      </c>
      <c r="E22" s="26"/>
      <c r="F22" s="11">
        <f>IF(LEN(detail!Q2)&lt;1,"",IF(detail!W2 &lt;&gt; "Revenue Recognized", 0, detail!Q2))</f>
        <v>84000</v>
      </c>
      <c r="G22" s="10">
        <f>IF(LEN(detail!U2)&lt;1,"",detail!U2)</f>
        <v>3</v>
      </c>
    </row>
    <row r="23" spans="2:7" x14ac:dyDescent="0.25">
      <c r="B23" s="25" t="str">
        <f>IF(LEN(detail!K3)&lt;1,"",detail!K3)</f>
        <v>Jupiter Medical Center</v>
      </c>
      <c r="C23" s="26"/>
      <c r="D23" s="27" t="str">
        <f>IF(LEN(detail!M3)&lt;1,"",detail!M3) &amp; IF(detail!X3&lt;&gt;0, "*", "")</f>
        <v>CVR480 021507</v>
      </c>
      <c r="E23" s="26"/>
      <c r="F23" s="11">
        <f>IF(LEN(detail!Q3)&lt;1,"",IF(detail!W3 &lt;&gt; "Revenue Recognized", 0, detail!Q3))</f>
        <v>31500</v>
      </c>
      <c r="G23" s="10">
        <f>IF(LEN(detail!U3)&lt;1,"",detail!U3)</f>
        <v>1</v>
      </c>
    </row>
    <row r="24" spans="2:7" x14ac:dyDescent="0.25">
      <c r="B24" s="25" t="str">
        <f>IF(LEN(detail!K4)&lt;1,"",detail!K4)</f>
        <v>Jupiter Medical Center</v>
      </c>
      <c r="C24" s="26"/>
      <c r="D24" s="27" t="str">
        <f>IF(LEN(detail!M4)&lt;1,"",detail!M4) &amp; IF(detail!X4&lt;&gt;0, "*", "")</f>
        <v>CVR480 022550</v>
      </c>
      <c r="E24" s="26"/>
      <c r="F24" s="11">
        <f>IF(LEN(detail!Q4)&lt;1,"",IF(detail!W4 &lt;&gt; "Revenue Recognized", 0, detail!Q4))</f>
        <v>31500</v>
      </c>
      <c r="G24" s="10">
        <f>IF(LEN(detail!U4)&lt;1,"",detail!U4)</f>
        <v>1</v>
      </c>
    </row>
    <row r="25" spans="2:7" x14ac:dyDescent="0.25">
      <c r="B25" s="25" t="str">
        <f>IF(LEN(detail!K5)&lt;1,"",detail!K5)</f>
        <v>Tallahassee Memorial Healthcare</v>
      </c>
      <c r="C25" s="26"/>
      <c r="D25" s="27" t="str">
        <f>IF(LEN(detail!M5)&lt;1,"",detail!M5) &amp; IF(detail!X5&lt;&gt;0, "*", "")</f>
        <v>CRX654 022804</v>
      </c>
      <c r="E25" s="26"/>
      <c r="F25" s="11">
        <f>IF(LEN(detail!Q5)&lt;1,"",IF(detail!W5 &lt;&gt; "Revenue Recognized", 0, detail!Q5))</f>
        <v>99000</v>
      </c>
      <c r="G25" s="10">
        <f>IF(LEN(detail!U5)&lt;1,"",detail!U5)</f>
        <v>3</v>
      </c>
    </row>
    <row r="26" spans="2:7" x14ac:dyDescent="0.25">
      <c r="B26" s="25" t="str">
        <f>IF(LEN(detail!K6)&lt;1,"",detail!K6)</f>
        <v>Jfk Medical Center</v>
      </c>
      <c r="C26" s="26"/>
      <c r="D26" s="27" t="str">
        <f>IF(LEN(detail!M6)&lt;1,"",detail!M6) &amp; IF(detail!X6&lt;&gt;0, "*", "")</f>
        <v>JFKMC 022714</v>
      </c>
      <c r="E26" s="26"/>
      <c r="F26" s="11">
        <f>IF(LEN(detail!Q6)&lt;1,"",IF(detail!W6 &lt;&gt; "Revenue Recognized", 0, detail!Q6))</f>
        <v>28000</v>
      </c>
      <c r="G26" s="10">
        <f>IF(LEN(detail!U6)&lt;1,"",detail!U6)</f>
        <v>1</v>
      </c>
    </row>
    <row r="27" spans="2:7" x14ac:dyDescent="0.25">
      <c r="B27" s="25" t="str">
        <f>IF(LEN(detail!K7)&lt;1,"",detail!K7)</f>
        <v>Adventhealth Orlando</v>
      </c>
      <c r="C27" s="26"/>
      <c r="D27" s="27" t="str">
        <f>IF(LEN(detail!M7)&lt;1,"",detail!M7) &amp; IF(detail!X7&lt;&gt;0, "*", "")</f>
        <v>AHOrl 020710</v>
      </c>
      <c r="E27" s="26"/>
      <c r="F27" s="11">
        <f>IF(LEN(detail!Q7)&lt;1,"",IF(detail!W7 &lt;&gt; "Revenue Recognized", 0, detail!Q7))</f>
        <v>28000</v>
      </c>
      <c r="G27" s="10">
        <f>IF(LEN(detail!U7)&lt;1,"",detail!U7)</f>
        <v>1</v>
      </c>
    </row>
    <row r="28" spans="2:7" x14ac:dyDescent="0.25">
      <c r="B28" s="25" t="str">
        <f>IF(LEN(detail!K8)&lt;1,"",detail!K8)</f>
        <v>Adventhealth Tampa</v>
      </c>
      <c r="C28" s="26"/>
      <c r="D28" s="27" t="str">
        <f>IF(LEN(detail!M8)&lt;1,"",detail!M8) &amp; IF(detail!X8&lt;&gt;0, "*", "")</f>
        <v>CRX846 023088</v>
      </c>
      <c r="E28" s="26"/>
      <c r="F28" s="11">
        <f>IF(LEN(detail!Q8)&lt;1,"",IF(detail!W8 &lt;&gt; "Revenue Recognized", 0, detail!Q8))</f>
        <v>28000</v>
      </c>
      <c r="G28" s="10">
        <f>IF(LEN(detail!U8)&lt;1,"",detail!U8)</f>
        <v>1</v>
      </c>
    </row>
    <row r="29" spans="2:7" x14ac:dyDescent="0.25">
      <c r="B29" s="25" t="str">
        <f>IF(LEN(detail!K9)&lt;1,"",detail!K9)</f>
        <v>Adventhealth Wesley Chapel</v>
      </c>
      <c r="C29" s="26"/>
      <c r="D29" s="27" t="str">
        <f>IF(LEN(detail!M9)&lt;1,"",detail!M9) &amp; IF(detail!X9&lt;&gt;0, "*", "")</f>
        <v>CRX09 022849</v>
      </c>
      <c r="E29" s="26"/>
      <c r="F29" s="11">
        <f>IF(LEN(detail!Q9)&lt;1,"",IF(detail!W9 &lt;&gt; "Revenue Recognized", 0, detail!Q9))</f>
        <v>28000</v>
      </c>
      <c r="G29" s="10">
        <f>IF(LEN(detail!U9)&lt;1,"",detail!U9)</f>
        <v>1</v>
      </c>
    </row>
    <row r="30" spans="2:7" x14ac:dyDescent="0.25">
      <c r="B30" s="25" t="str">
        <f>IF(LEN(detail!K10)&lt;1,"",detail!K10)</f>
        <v>Tallahassee Memorial Healthcare</v>
      </c>
      <c r="C30" s="26"/>
      <c r="D30" s="27" t="str">
        <f>IF(LEN(detail!M10)&lt;1,"",detail!M10) &amp; IF(detail!X10&lt;&gt;0, "*", "")</f>
        <v>CRX654 023295</v>
      </c>
      <c r="E30" s="26"/>
      <c r="F30" s="11">
        <f>IF(LEN(detail!Q10)&lt;1,"",IF(detail!W10 &lt;&gt; "Revenue Recognized", 0, detail!Q10))</f>
        <v>99000</v>
      </c>
      <c r="G30" s="10">
        <f>IF(LEN(detail!U10)&lt;1,"",detail!U10)</f>
        <v>3</v>
      </c>
    </row>
    <row r="31" spans="2:7" x14ac:dyDescent="0.25">
      <c r="B31" s="25" t="str">
        <f>IF(LEN(detail!K11)&lt;1,"",detail!K11)</f>
        <v>Adventhealth Orlando</v>
      </c>
      <c r="C31" s="26"/>
      <c r="D31" s="27" t="str">
        <f>IF(LEN(detail!M11)&lt;1,"",detail!M11) &amp; IF(detail!X11&lt;&gt;0, "*", "")</f>
        <v>AHOrl 023033</v>
      </c>
      <c r="E31" s="26"/>
      <c r="F31" s="11">
        <f>IF(LEN(detail!Q11)&lt;1,"",IF(detail!W11 &lt;&gt; "Revenue Recognized", 0, detail!Q11))</f>
        <v>28000</v>
      </c>
      <c r="G31" s="10">
        <f>IF(LEN(detail!U11)&lt;1,"",detail!U11)</f>
        <v>1</v>
      </c>
    </row>
    <row r="32" spans="2:7" x14ac:dyDescent="0.25">
      <c r="B32" s="25" t="str">
        <f>IF(LEN(detail!K12)&lt;1,"",detail!K12)</f>
        <v>Adventhealth Tampa</v>
      </c>
      <c r="C32" s="26"/>
      <c r="D32" s="27" t="str">
        <f>IF(LEN(detail!M12)&lt;1,"",detail!M12) &amp; IF(detail!X12&lt;&gt;0, "*", "")</f>
        <v>CRX846 023260</v>
      </c>
      <c r="E32" s="26"/>
      <c r="F32" s="11">
        <f>IF(LEN(detail!Q12)&lt;1,"",IF(detail!W12 &lt;&gt; "Revenue Recognized", 0, detail!Q12))</f>
        <v>28000</v>
      </c>
      <c r="G32" s="10">
        <f>IF(LEN(detail!U12)&lt;1,"",detail!U12)</f>
        <v>1</v>
      </c>
    </row>
    <row r="33" spans="2:7" x14ac:dyDescent="0.25">
      <c r="B33" s="25" t="str">
        <f>IF(LEN(detail!K13)&lt;1,"",detail!K13)</f>
        <v>Manatee Memorial Hospital Lp</v>
      </c>
      <c r="C33" s="26"/>
      <c r="D33" s="27" t="str">
        <f>IF(LEN(detail!M13)&lt;1,"",detail!M13) &amp; IF(detail!X13&lt;&gt;0, "*", "")</f>
        <v>ManMemMC 023283</v>
      </c>
      <c r="E33" s="26"/>
      <c r="F33" s="11">
        <f>IF(LEN(detail!Q13)&lt;1,"",IF(detail!W13 &lt;&gt; "Revenue Recognized", 0, detail!Q13))</f>
        <v>84000</v>
      </c>
      <c r="G33" s="10">
        <f>IF(LEN(detail!U13)&lt;1,"",detail!U13)</f>
        <v>3</v>
      </c>
    </row>
    <row r="34" spans="2:7" x14ac:dyDescent="0.25">
      <c r="B34" s="25" t="str">
        <f>IF(LEN(detail!K14)&lt;1,"",detail!K14)</f>
        <v>Adventhealth Daytona Beach</v>
      </c>
      <c r="C34" s="26"/>
      <c r="D34" s="27" t="str">
        <f>IF(LEN(detail!M14)&lt;1,"",detail!M14) &amp; IF(detail!X14&lt;&gt;0, "*", "")</f>
        <v>AHDB 023368</v>
      </c>
      <c r="E34" s="26"/>
      <c r="F34" s="11">
        <f>IF(LEN(detail!Q14)&lt;1,"",IF(detail!W14 &lt;&gt; "Revenue Recognized", 0, detail!Q14))</f>
        <v>28000</v>
      </c>
      <c r="G34" s="10">
        <f>IF(LEN(detail!U14)&lt;1,"",detail!U14)</f>
        <v>1</v>
      </c>
    </row>
    <row r="35" spans="2:7" x14ac:dyDescent="0.25">
      <c r="B35" s="25" t="str">
        <f>IF(LEN(detail!K15)&lt;1,"",detail!K15)</f>
        <v/>
      </c>
      <c r="C35" s="26"/>
      <c r="D35" s="27" t="str">
        <f>IF(LEN(detail!M15)&lt;1,"",detail!M15) &amp; IF(detail!X15&lt;&gt;0, "*", "")</f>
        <v/>
      </c>
      <c r="E35" s="26"/>
      <c r="F35" s="11" t="str">
        <f>IF(LEN(detail!Q15)&lt;1,"",IF(detail!W15 &lt;&gt; "Revenue Recognized", 0, detail!Q15))</f>
        <v/>
      </c>
      <c r="G35" s="10" t="str">
        <f>IF(LEN(detail!U15)&lt;1,"",detail!U15)</f>
        <v/>
      </c>
    </row>
    <row r="36" spans="2:7" x14ac:dyDescent="0.25">
      <c r="B36" s="25" t="str">
        <f>IF(LEN(detail!K16)&lt;1,"",detail!K16)</f>
        <v/>
      </c>
      <c r="C36" s="26"/>
      <c r="D36" s="27" t="str">
        <f>IF(LEN(detail!M16)&lt;1,"",detail!M16) &amp; IF(detail!X16&lt;&gt;0, "*", "")</f>
        <v/>
      </c>
      <c r="E36" s="26"/>
      <c r="F36" s="11" t="str">
        <f>IF(LEN(detail!Q16)&lt;1,"",IF(detail!W16 &lt;&gt; "Revenue Recognized", 0, detail!Q16))</f>
        <v/>
      </c>
      <c r="G36" s="10" t="str">
        <f>IF(LEN(detail!U16)&lt;1,"",detail!U16)</f>
        <v/>
      </c>
    </row>
    <row r="37" spans="2:7" x14ac:dyDescent="0.25">
      <c r="B37" s="25" t="str">
        <f>IF(LEN(detail!K17)&lt;1,"",detail!K17)</f>
        <v/>
      </c>
      <c r="C37" s="26"/>
      <c r="D37" s="27" t="str">
        <f>IF(LEN(detail!M17)&lt;1,"",detail!M17) &amp; IF(detail!X17&lt;&gt;0, "*", "")</f>
        <v/>
      </c>
      <c r="E37" s="26"/>
      <c r="F37" s="11" t="str">
        <f>IF(LEN(detail!Q17)&lt;1,"",IF(detail!W17 &lt;&gt; "Revenue Recognized", 0, detail!Q17))</f>
        <v/>
      </c>
      <c r="G37" s="10" t="str">
        <f>IF(LEN(detail!U17)&lt;1,"",detail!U17)</f>
        <v/>
      </c>
    </row>
    <row r="38" spans="2:7" x14ac:dyDescent="0.25">
      <c r="B38" s="25" t="str">
        <f>IF(LEN(detail!K18)&lt;1,"",detail!K18)</f>
        <v/>
      </c>
      <c r="C38" s="26"/>
      <c r="D38" s="27" t="str">
        <f>IF(LEN(detail!M18)&lt;1,"",detail!M18) &amp; IF(detail!X18&lt;&gt;0, "*", "")</f>
        <v/>
      </c>
      <c r="E38" s="26"/>
      <c r="F38" s="11" t="str">
        <f>IF(LEN(detail!Q18)&lt;1,"",IF(detail!W18 &lt;&gt; "Revenue Recognized", 0, detail!Q18))</f>
        <v/>
      </c>
      <c r="G38" s="10" t="str">
        <f>IF(LEN(detail!U18)&lt;1,"",detail!U18)</f>
        <v/>
      </c>
    </row>
    <row r="39" spans="2:7" x14ac:dyDescent="0.25">
      <c r="B39" s="25" t="str">
        <f>IF(LEN(detail!K19)&lt;1,"",detail!K19)</f>
        <v/>
      </c>
      <c r="C39" s="26"/>
      <c r="D39" s="27" t="str">
        <f>IF(LEN(detail!M19)&lt;1,"",detail!M19) &amp; IF(detail!X19&lt;&gt;0, "*", "")</f>
        <v/>
      </c>
      <c r="E39" s="26"/>
      <c r="F39" s="11" t="str">
        <f>IF(LEN(detail!Q19)&lt;1,"",IF(detail!W19 &lt;&gt; "Revenue Recognized", 0, detail!Q19))</f>
        <v/>
      </c>
      <c r="G39" s="10" t="str">
        <f>IF(LEN(detail!U19)&lt;1,"",detail!U19)</f>
        <v/>
      </c>
    </row>
    <row r="40" spans="2:7" x14ac:dyDescent="0.25">
      <c r="B40" s="25" t="str">
        <f>IF(LEN(detail!K20)&lt;1,"",detail!K20)</f>
        <v/>
      </c>
      <c r="C40" s="26"/>
      <c r="D40" s="27" t="str">
        <f>IF(LEN(detail!M20)&lt;1,"",detail!M20) &amp; IF(detail!X20&lt;&gt;0, "*", "")</f>
        <v/>
      </c>
      <c r="E40" s="26"/>
      <c r="F40" s="11" t="str">
        <f>IF(LEN(detail!Q20)&lt;1,"",IF(detail!W20 &lt;&gt; "Revenue Recognized", 0, detail!Q20))</f>
        <v/>
      </c>
      <c r="G40" s="10" t="str">
        <f>IF(LEN(detail!U20)&lt;1,"",detail!U20)</f>
        <v/>
      </c>
    </row>
    <row r="41" spans="2:7" x14ac:dyDescent="0.25">
      <c r="B41" s="25" t="str">
        <f>IF(LEN(detail!K21)&lt;1,"",detail!K21)</f>
        <v/>
      </c>
      <c r="C41" s="26"/>
      <c r="D41" s="27" t="str">
        <f>IF(LEN(detail!M21)&lt;1,"",detail!M21) &amp; IF(detail!X21&lt;&gt;0, "*", "")</f>
        <v/>
      </c>
      <c r="E41" s="26"/>
      <c r="F41" s="11" t="str">
        <f>IF(LEN(detail!Q21)&lt;1,"",IF(detail!W21 &lt;&gt; "Revenue Recognized", 0, detail!Q21))</f>
        <v/>
      </c>
      <c r="G41" s="10" t="str">
        <f>IF(LEN(detail!U21)&lt;1,"",detail!U21)</f>
        <v/>
      </c>
    </row>
    <row r="42" spans="2:7" x14ac:dyDescent="0.25">
      <c r="B42" s="25" t="str">
        <f>IF(LEN(detail!K22)&lt;1,"",detail!K22)</f>
        <v/>
      </c>
      <c r="C42" s="26"/>
      <c r="D42" s="27" t="str">
        <f>IF(LEN(detail!M22)&lt;1,"",detail!M22) &amp; IF(detail!X22&lt;&gt;0, "*", "")</f>
        <v/>
      </c>
      <c r="E42" s="26"/>
      <c r="F42" s="11" t="str">
        <f>IF(LEN(detail!Q22)&lt;1,"",IF(detail!W22 &lt;&gt; "Revenue Recognized", 0, detail!Q22))</f>
        <v/>
      </c>
      <c r="G42" s="10" t="str">
        <f>IF(LEN(detail!U22)&lt;1,"",detail!U22)</f>
        <v/>
      </c>
    </row>
    <row r="43" spans="2:7" x14ac:dyDescent="0.25">
      <c r="B43" s="25" t="str">
        <f>IF(LEN(detail!K23)&lt;1,"",detail!K23)</f>
        <v/>
      </c>
      <c r="C43" s="26"/>
      <c r="D43" s="27" t="str">
        <f>IF(LEN(detail!M23)&lt;1,"",detail!M23) &amp; IF(detail!X23&lt;&gt;0, "*", "")</f>
        <v/>
      </c>
      <c r="E43" s="26"/>
      <c r="F43" s="11" t="str">
        <f>IF(LEN(detail!Q23)&lt;1,"",IF(detail!W23 &lt;&gt; "Revenue Recognized", 0, detail!Q23))</f>
        <v/>
      </c>
      <c r="G43" s="10" t="str">
        <f>IF(LEN(detail!U23)&lt;1,"",detail!U23)</f>
        <v/>
      </c>
    </row>
    <row r="44" spans="2:7" x14ac:dyDescent="0.25">
      <c r="B44" s="25" t="str">
        <f>IF(LEN(detail!K24)&lt;1,"",detail!K24)</f>
        <v/>
      </c>
      <c r="C44" s="26"/>
      <c r="D44" s="27" t="str">
        <f>IF(LEN(detail!M24)&lt;1,"",detail!M24) &amp; IF(detail!X24&lt;&gt;0, "*", "")</f>
        <v/>
      </c>
      <c r="E44" s="26"/>
      <c r="F44" s="11" t="str">
        <f>IF(LEN(detail!Q24)&lt;1,"",IF(detail!W24 &lt;&gt; "Revenue Recognized", 0, detail!Q24))</f>
        <v/>
      </c>
      <c r="G44" s="10" t="str">
        <f>IF(LEN(detail!U24)&lt;1,"",detail!U24)</f>
        <v/>
      </c>
    </row>
    <row r="45" spans="2:7" x14ac:dyDescent="0.25">
      <c r="B45" s="25" t="str">
        <f>IF(LEN(detail!K25)&lt;1,"",detail!K25)</f>
        <v/>
      </c>
      <c r="C45" s="26"/>
      <c r="D45" s="27" t="str">
        <f>IF(LEN(detail!M25)&lt;1,"",detail!M25) &amp; IF(detail!X25&lt;&gt;0, "*", "")</f>
        <v/>
      </c>
      <c r="E45" s="26"/>
      <c r="F45" s="11" t="str">
        <f>IF(LEN(detail!Q25)&lt;1,"",IF(detail!W25 &lt;&gt; "Revenue Recognized", 0, detail!Q25))</f>
        <v/>
      </c>
      <c r="G45" s="10" t="str">
        <f>IF(LEN(detail!U25)&lt;1,"",detail!U25)</f>
        <v/>
      </c>
    </row>
    <row r="46" spans="2:7" x14ac:dyDescent="0.25">
      <c r="B46" s="25" t="str">
        <f>IF(LEN(detail!K26)&lt;1,"",detail!K26)</f>
        <v/>
      </c>
      <c r="C46" s="26"/>
      <c r="D46" s="27" t="str">
        <f>IF(LEN(detail!M26)&lt;1,"",detail!M26) &amp; IF(detail!X26&lt;&gt;0, "*", "")</f>
        <v/>
      </c>
      <c r="E46" s="26"/>
      <c r="F46" s="11" t="str">
        <f>IF(LEN(detail!Q26)&lt;1,"",IF(detail!W26 &lt;&gt; "Revenue Recognized", 0, detail!Q26))</f>
        <v/>
      </c>
      <c r="G46" s="10" t="str">
        <f>IF(LEN(detail!U26)&lt;1,"",detail!U26)</f>
        <v/>
      </c>
    </row>
    <row r="47" spans="2:7" x14ac:dyDescent="0.25">
      <c r="B47" s="25" t="str">
        <f>IF(LEN(detail!K27)&lt;1,"",detail!K27)</f>
        <v/>
      </c>
      <c r="C47" s="26"/>
      <c r="D47" s="27" t="str">
        <f>IF(LEN(detail!M27)&lt;1,"",detail!M27) &amp; IF(detail!X27&lt;&gt;0, "*", "")</f>
        <v/>
      </c>
      <c r="E47" s="26"/>
      <c r="F47" s="11" t="str">
        <f>IF(LEN(detail!Q27)&lt;1,"",IF(detail!W27 &lt;&gt; "Revenue Recognized", 0, detail!Q27))</f>
        <v/>
      </c>
      <c r="G47" s="10" t="str">
        <f>IF(LEN(detail!U27)&lt;1,"",detail!U27)</f>
        <v/>
      </c>
    </row>
    <row r="48" spans="2:7" x14ac:dyDescent="0.25">
      <c r="B48" s="1" t="s">
        <v>20</v>
      </c>
    </row>
  </sheetData>
  <mergeCells count="65">
    <mergeCell ref="B45:C45"/>
    <mergeCell ref="D23:E23"/>
    <mergeCell ref="D38:E38"/>
    <mergeCell ref="B36:C36"/>
    <mergeCell ref="B32:C32"/>
    <mergeCell ref="B26:C26"/>
    <mergeCell ref="B41:C41"/>
    <mergeCell ref="D26:E26"/>
    <mergeCell ref="D44:E44"/>
    <mergeCell ref="D35:E35"/>
    <mergeCell ref="B9:C9"/>
    <mergeCell ref="B35:C35"/>
    <mergeCell ref="D39:E39"/>
    <mergeCell ref="D25:E25"/>
    <mergeCell ref="B30:C30"/>
    <mergeCell ref="B24:C24"/>
    <mergeCell ref="D24:E24"/>
    <mergeCell ref="D30:E30"/>
    <mergeCell ref="E16:F16"/>
    <mergeCell ref="B33:C33"/>
    <mergeCell ref="D33:E33"/>
    <mergeCell ref="D29:E29"/>
    <mergeCell ref="E11:F11"/>
    <mergeCell ref="D37:E37"/>
    <mergeCell ref="B28:C28"/>
    <mergeCell ref="D28:E28"/>
    <mergeCell ref="B40:C40"/>
    <mergeCell ref="B29:C29"/>
    <mergeCell ref="E15:F15"/>
    <mergeCell ref="D43:E43"/>
    <mergeCell ref="B34:C34"/>
    <mergeCell ref="B37:C37"/>
    <mergeCell ref="D42:E42"/>
    <mergeCell ref="E9:G9"/>
    <mergeCell ref="D46:E46"/>
    <mergeCell ref="D22:E22"/>
    <mergeCell ref="B31:C31"/>
    <mergeCell ref="D40:E40"/>
    <mergeCell ref="B27:C27"/>
    <mergeCell ref="E17:F17"/>
    <mergeCell ref="D31:E31"/>
    <mergeCell ref="E14:F14"/>
    <mergeCell ref="D36:E36"/>
    <mergeCell ref="D45:E45"/>
    <mergeCell ref="B43:C43"/>
    <mergeCell ref="D21:E21"/>
    <mergeCell ref="B39:C39"/>
    <mergeCell ref="B21:C21"/>
    <mergeCell ref="E10:F10"/>
    <mergeCell ref="E12:F12"/>
    <mergeCell ref="B47:C47"/>
    <mergeCell ref="B25:C25"/>
    <mergeCell ref="D34:E34"/>
    <mergeCell ref="B46:C46"/>
    <mergeCell ref="B22:C22"/>
    <mergeCell ref="D27:E27"/>
    <mergeCell ref="B42:C42"/>
    <mergeCell ref="B23:C23"/>
    <mergeCell ref="D32:E32"/>
    <mergeCell ref="E13:F13"/>
    <mergeCell ref="D41:E41"/>
    <mergeCell ref="D47:E47"/>
    <mergeCell ref="B38:C38"/>
    <mergeCell ref="B44:C44"/>
    <mergeCell ref="B20:G20"/>
  </mergeCells>
  <conditionalFormatting sqref="B22:B47 D22:D47 F22:G47">
    <cfRule type="containsErrors" dxfId="0" priority="1">
      <formula>ISERROR(B22)</formula>
    </cfRule>
  </conditionalFormatting>
  <pageMargins left="0.7" right="0.7" top="0.75" bottom="0.75" header="0.3" footer="0.3"/>
  <pageSetup orientation="portrait" horizontalDpi="1200" verticalDpi="12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/>
  </sheetViews>
  <sheetFormatPr defaultRowHeight="15" x14ac:dyDescent="0.25"/>
  <sheetData>
    <row r="1" spans="1:8" x14ac:dyDescent="0.25">
      <c r="A1" s="22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25">
      <c r="A2" t="s">
        <v>29</v>
      </c>
      <c r="B2" t="s">
        <v>30</v>
      </c>
      <c r="C2" t="s">
        <v>31</v>
      </c>
      <c r="D2" t="s">
        <v>32</v>
      </c>
      <c r="E2" t="s">
        <v>33</v>
      </c>
      <c r="F2">
        <v>1365</v>
      </c>
      <c r="G2" t="s">
        <v>34</v>
      </c>
    </row>
    <row r="3" spans="1:8" x14ac:dyDescent="0.25">
      <c r="A3" t="s">
        <v>29</v>
      </c>
      <c r="B3" t="s">
        <v>30</v>
      </c>
      <c r="C3" t="s">
        <v>31</v>
      </c>
      <c r="D3" t="s">
        <v>32</v>
      </c>
      <c r="E3" t="s">
        <v>33</v>
      </c>
      <c r="F3">
        <v>625000</v>
      </c>
      <c r="G3" t="s">
        <v>35</v>
      </c>
    </row>
    <row r="4" spans="1:8" x14ac:dyDescent="0.25">
      <c r="A4" t="s">
        <v>29</v>
      </c>
      <c r="B4" t="s">
        <v>30</v>
      </c>
      <c r="C4" t="s">
        <v>31</v>
      </c>
      <c r="D4" t="s">
        <v>32</v>
      </c>
      <c r="E4" t="s">
        <v>33</v>
      </c>
      <c r="F4">
        <v>1365.09</v>
      </c>
      <c r="G4" t="s">
        <v>36</v>
      </c>
    </row>
    <row r="5" spans="1:8" x14ac:dyDescent="0.25">
      <c r="A5" t="s">
        <v>29</v>
      </c>
      <c r="B5" t="s">
        <v>30</v>
      </c>
      <c r="C5" t="s">
        <v>31</v>
      </c>
      <c r="D5" t="s">
        <v>32</v>
      </c>
      <c r="E5" t="s">
        <v>33</v>
      </c>
      <c r="F5">
        <v>1365.09</v>
      </c>
      <c r="G5" t="s">
        <v>37</v>
      </c>
    </row>
    <row r="6" spans="1:8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>
        <v>625000</v>
      </c>
      <c r="G6" t="s">
        <v>38</v>
      </c>
    </row>
    <row r="7" spans="1:8" x14ac:dyDescent="0.25">
      <c r="A7" t="s">
        <v>29</v>
      </c>
      <c r="B7" t="s">
        <v>30</v>
      </c>
      <c r="C7" t="s">
        <v>31</v>
      </c>
      <c r="D7" t="s">
        <v>32</v>
      </c>
      <c r="E7" t="s">
        <v>33</v>
      </c>
      <c r="F7">
        <v>0.06</v>
      </c>
      <c r="G7" t="s">
        <v>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B24"/>
  <sheetViews>
    <sheetView workbookViewId="0"/>
  </sheetViews>
  <sheetFormatPr defaultRowHeight="15" x14ac:dyDescent="0.25"/>
  <cols>
    <col min="1" max="1" width="11.5703125" bestFit="1" customWidth="1"/>
    <col min="2" max="2" width="27" bestFit="1" customWidth="1"/>
  </cols>
  <sheetData>
    <row r="1" spans="1:2" x14ac:dyDescent="0.25">
      <c r="A1" t="s">
        <v>40</v>
      </c>
      <c r="B1" t="s">
        <v>41</v>
      </c>
    </row>
    <row r="2" spans="1:2" x14ac:dyDescent="0.25">
      <c r="A2" t="s">
        <v>42</v>
      </c>
      <c r="B2" t="s">
        <v>30</v>
      </c>
    </row>
    <row r="3" spans="1:2" x14ac:dyDescent="0.25">
      <c r="A3" t="s">
        <v>43</v>
      </c>
      <c r="B3" t="s">
        <v>44</v>
      </c>
    </row>
    <row r="4" spans="1:2" x14ac:dyDescent="0.25">
      <c r="A4" t="s">
        <v>45</v>
      </c>
      <c r="B4" t="s">
        <v>46</v>
      </c>
    </row>
    <row r="5" spans="1:2" x14ac:dyDescent="0.25">
      <c r="A5" t="s">
        <v>47</v>
      </c>
      <c r="B5" t="s">
        <v>48</v>
      </c>
    </row>
    <row r="6" spans="1:2" x14ac:dyDescent="0.25">
      <c r="A6" t="s">
        <v>49</v>
      </c>
      <c r="B6">
        <v>23340</v>
      </c>
    </row>
    <row r="7" spans="1:2" x14ac:dyDescent="0.25">
      <c r="A7" t="s">
        <v>50</v>
      </c>
      <c r="B7" t="s">
        <v>51</v>
      </c>
    </row>
    <row r="8" spans="1:2" x14ac:dyDescent="0.25">
      <c r="A8" t="s">
        <v>52</v>
      </c>
      <c r="B8">
        <v>10686111.9882</v>
      </c>
    </row>
    <row r="21" ht="15.95" customHeight="1" x14ac:dyDescent="0.25"/>
    <row r="22" ht="15.95" customHeight="1" x14ac:dyDescent="0.25"/>
    <row r="23" ht="3.95" customHeight="1" x14ac:dyDescent="0.25"/>
    <row r="24" ht="3.9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4"/>
  <sheetViews>
    <sheetView topLeftCell="N1" workbookViewId="0">
      <selection activeCell="U22" sqref="U22"/>
    </sheetView>
  </sheetViews>
  <sheetFormatPr defaultRowHeight="15" x14ac:dyDescent="0.25"/>
  <cols>
    <col min="1" max="1" width="23.42578125" bestFit="1" customWidth="1"/>
    <col min="2" max="2" width="11.42578125" bestFit="1" customWidth="1"/>
    <col min="3" max="3" width="15.42578125" bestFit="1" customWidth="1"/>
    <col min="4" max="4" width="10.85546875" bestFit="1" customWidth="1"/>
    <col min="5" max="5" width="18.28515625" bestFit="1" customWidth="1"/>
    <col min="6" max="6" width="15.85546875" bestFit="1" customWidth="1"/>
    <col min="7" max="7" width="15" bestFit="1" customWidth="1"/>
    <col min="8" max="8" width="18.28515625" bestFit="1" customWidth="1"/>
    <col min="9" max="9" width="21" bestFit="1" customWidth="1"/>
    <col min="10" max="10" width="20.140625" bestFit="1" customWidth="1"/>
    <col min="11" max="11" width="49" bestFit="1" customWidth="1"/>
    <col min="12" max="12" width="21.85546875" bestFit="1" customWidth="1"/>
    <col min="13" max="13" width="19" bestFit="1" customWidth="1"/>
    <col min="14" max="14" width="20.85546875" bestFit="1" customWidth="1"/>
    <col min="15" max="15" width="20" bestFit="1" customWidth="1"/>
    <col min="16" max="16" width="20.85546875" bestFit="1" customWidth="1"/>
    <col min="17" max="17" width="6.140625" bestFit="1" customWidth="1"/>
    <col min="18" max="18" width="10.5703125" bestFit="1" customWidth="1"/>
    <col min="19" max="19" width="20.85546875" bestFit="1" customWidth="1"/>
    <col min="20" max="20" width="15.7109375" bestFit="1" customWidth="1"/>
    <col min="21" max="21" width="15.85546875" bestFit="1" customWidth="1"/>
    <col min="22" max="22" width="25.7109375" bestFit="1" customWidth="1"/>
    <col min="23" max="23" width="19.7109375" bestFit="1" customWidth="1"/>
    <col min="24" max="24" width="8" bestFit="1" customWidth="1"/>
    <col min="25" max="25" width="6.140625" bestFit="1" customWidth="1"/>
    <col min="26" max="26" width="9.7109375" bestFit="1" customWidth="1"/>
    <col min="27" max="27" width="8.85546875" bestFit="1" customWidth="1"/>
    <col min="28" max="28" width="17.5703125" bestFit="1" customWidth="1"/>
  </cols>
  <sheetData>
    <row r="1" spans="1:28" x14ac:dyDescent="0.25">
      <c r="A1" s="22" t="s">
        <v>53</v>
      </c>
      <c r="B1" s="22" t="s">
        <v>54</v>
      </c>
      <c r="C1" s="22" t="s">
        <v>55</v>
      </c>
      <c r="D1" s="22" t="s">
        <v>56</v>
      </c>
      <c r="E1" s="22" t="s">
        <v>57</v>
      </c>
      <c r="F1" s="22" t="s">
        <v>58</v>
      </c>
      <c r="G1" s="22" t="s">
        <v>59</v>
      </c>
      <c r="H1" s="22" t="s">
        <v>60</v>
      </c>
      <c r="I1" s="22" t="s">
        <v>61</v>
      </c>
      <c r="J1" s="22" t="s">
        <v>62</v>
      </c>
      <c r="K1" s="22" t="s">
        <v>63</v>
      </c>
      <c r="L1" s="22" t="s">
        <v>64</v>
      </c>
      <c r="M1" s="22" t="s">
        <v>65</v>
      </c>
      <c r="N1" s="22" t="s">
        <v>66</v>
      </c>
      <c r="O1" s="22" t="s">
        <v>67</v>
      </c>
      <c r="P1" s="22" t="s">
        <v>68</v>
      </c>
      <c r="Q1" s="22" t="s">
        <v>35</v>
      </c>
      <c r="R1" s="22" t="s">
        <v>38</v>
      </c>
      <c r="S1" s="22" t="s">
        <v>69</v>
      </c>
      <c r="T1" s="22" t="s">
        <v>70</v>
      </c>
      <c r="U1" s="22" t="s">
        <v>71</v>
      </c>
      <c r="V1" s="22" t="s">
        <v>72</v>
      </c>
      <c r="W1" s="22" t="s">
        <v>73</v>
      </c>
      <c r="X1" s="22" t="s">
        <v>74</v>
      </c>
      <c r="Y1" s="22" t="s">
        <v>75</v>
      </c>
      <c r="Z1" s="22" t="s">
        <v>76</v>
      </c>
      <c r="AA1" s="22" t="s">
        <v>77</v>
      </c>
      <c r="AB1" s="22" t="s">
        <v>78</v>
      </c>
    </row>
    <row r="2" spans="1:28" x14ac:dyDescent="0.25">
      <c r="A2" t="s">
        <v>30</v>
      </c>
      <c r="B2" t="s">
        <v>41</v>
      </c>
      <c r="C2" t="s">
        <v>79</v>
      </c>
      <c r="D2" t="s">
        <v>80</v>
      </c>
      <c r="E2" s="19">
        <v>45670</v>
      </c>
      <c r="F2" t="s">
        <v>29</v>
      </c>
      <c r="G2" t="s">
        <v>31</v>
      </c>
      <c r="I2" t="s">
        <v>29</v>
      </c>
      <c r="J2" t="s">
        <v>31</v>
      </c>
      <c r="K2" t="s">
        <v>81</v>
      </c>
      <c r="L2" t="s">
        <v>82</v>
      </c>
      <c r="M2" t="s">
        <v>83</v>
      </c>
      <c r="N2" t="s">
        <v>84</v>
      </c>
      <c r="Q2">
        <v>84000</v>
      </c>
      <c r="R2">
        <v>84000</v>
      </c>
      <c r="S2">
        <v>1</v>
      </c>
      <c r="T2">
        <v>0</v>
      </c>
      <c r="U2">
        <v>3</v>
      </c>
      <c r="V2" t="s">
        <v>85</v>
      </c>
      <c r="W2" t="s">
        <v>86</v>
      </c>
      <c r="X2">
        <v>0</v>
      </c>
      <c r="Y2">
        <v>0</v>
      </c>
    </row>
    <row r="3" spans="1:28" x14ac:dyDescent="0.25">
      <c r="A3" t="s">
        <v>30</v>
      </c>
      <c r="B3" t="s">
        <v>41</v>
      </c>
      <c r="C3" t="s">
        <v>79</v>
      </c>
      <c r="D3" t="s">
        <v>80</v>
      </c>
      <c r="E3" s="19">
        <v>45670</v>
      </c>
      <c r="F3" t="s">
        <v>29</v>
      </c>
      <c r="G3" t="s">
        <v>31</v>
      </c>
      <c r="H3" s="19">
        <v>45667</v>
      </c>
      <c r="I3" t="s">
        <v>29</v>
      </c>
      <c r="J3" t="s">
        <v>31</v>
      </c>
      <c r="K3" t="s">
        <v>87</v>
      </c>
      <c r="L3" t="s">
        <v>88</v>
      </c>
      <c r="M3" t="s">
        <v>89</v>
      </c>
      <c r="N3" t="s">
        <v>90</v>
      </c>
      <c r="O3" t="s">
        <v>91</v>
      </c>
      <c r="P3" t="s">
        <v>92</v>
      </c>
      <c r="Q3">
        <v>31500</v>
      </c>
      <c r="R3">
        <v>115500</v>
      </c>
      <c r="S3">
        <v>1</v>
      </c>
      <c r="T3">
        <v>1</v>
      </c>
      <c r="U3">
        <v>1</v>
      </c>
      <c r="V3" t="s">
        <v>85</v>
      </c>
      <c r="W3" t="s">
        <v>86</v>
      </c>
      <c r="X3">
        <v>0</v>
      </c>
      <c r="Y3">
        <v>0</v>
      </c>
    </row>
    <row r="4" spans="1:28" x14ac:dyDescent="0.25">
      <c r="A4" t="s">
        <v>30</v>
      </c>
      <c r="B4" t="s">
        <v>41</v>
      </c>
      <c r="C4" t="s">
        <v>79</v>
      </c>
      <c r="D4" t="s">
        <v>80</v>
      </c>
      <c r="E4" s="19">
        <v>45670</v>
      </c>
      <c r="F4" t="s">
        <v>29</v>
      </c>
      <c r="G4" t="s">
        <v>31</v>
      </c>
      <c r="H4" s="19">
        <v>45667</v>
      </c>
      <c r="I4" t="s">
        <v>29</v>
      </c>
      <c r="J4" t="s">
        <v>31</v>
      </c>
      <c r="K4" t="s">
        <v>87</v>
      </c>
      <c r="L4" t="s">
        <v>88</v>
      </c>
      <c r="M4" t="s">
        <v>93</v>
      </c>
      <c r="N4" t="s">
        <v>94</v>
      </c>
      <c r="O4" t="s">
        <v>95</v>
      </c>
      <c r="P4" t="s">
        <v>96</v>
      </c>
      <c r="Q4">
        <v>31500</v>
      </c>
      <c r="R4">
        <v>147000</v>
      </c>
      <c r="S4">
        <v>1</v>
      </c>
      <c r="T4">
        <v>1</v>
      </c>
      <c r="U4">
        <v>1</v>
      </c>
      <c r="V4" t="s">
        <v>85</v>
      </c>
      <c r="W4" t="s">
        <v>86</v>
      </c>
      <c r="X4">
        <v>0</v>
      </c>
      <c r="Y4">
        <v>0</v>
      </c>
    </row>
    <row r="5" spans="1:28" x14ac:dyDescent="0.25">
      <c r="A5" t="s">
        <v>30</v>
      </c>
      <c r="B5" t="s">
        <v>41</v>
      </c>
      <c r="C5" t="s">
        <v>79</v>
      </c>
      <c r="D5" t="s">
        <v>80</v>
      </c>
      <c r="E5" s="19">
        <v>45672</v>
      </c>
      <c r="F5" t="s">
        <v>29</v>
      </c>
      <c r="G5" t="s">
        <v>31</v>
      </c>
      <c r="I5" t="s">
        <v>29</v>
      </c>
      <c r="J5" t="s">
        <v>31</v>
      </c>
      <c r="K5" t="s">
        <v>97</v>
      </c>
      <c r="L5" t="s">
        <v>98</v>
      </c>
      <c r="M5" t="s">
        <v>99</v>
      </c>
      <c r="N5" t="s">
        <v>100</v>
      </c>
      <c r="Q5">
        <v>99000</v>
      </c>
      <c r="R5">
        <v>246000</v>
      </c>
      <c r="S5">
        <v>1</v>
      </c>
      <c r="T5">
        <v>0</v>
      </c>
      <c r="U5">
        <v>3</v>
      </c>
      <c r="V5" t="s">
        <v>85</v>
      </c>
      <c r="W5" t="s">
        <v>86</v>
      </c>
      <c r="X5">
        <v>0</v>
      </c>
      <c r="Y5">
        <v>0</v>
      </c>
    </row>
    <row r="6" spans="1:28" x14ac:dyDescent="0.25">
      <c r="A6" t="s">
        <v>30</v>
      </c>
      <c r="B6" t="s">
        <v>41</v>
      </c>
      <c r="C6" t="s">
        <v>79</v>
      </c>
      <c r="D6" t="s">
        <v>80</v>
      </c>
      <c r="E6" s="19">
        <v>45672</v>
      </c>
      <c r="F6" t="s">
        <v>29</v>
      </c>
      <c r="G6" t="s">
        <v>31</v>
      </c>
      <c r="H6" s="19">
        <v>45667</v>
      </c>
      <c r="I6" t="s">
        <v>29</v>
      </c>
      <c r="J6" t="s">
        <v>31</v>
      </c>
      <c r="K6" t="s">
        <v>101</v>
      </c>
      <c r="L6" t="s">
        <v>102</v>
      </c>
      <c r="M6" t="s">
        <v>103</v>
      </c>
      <c r="N6" t="s">
        <v>104</v>
      </c>
      <c r="O6" t="s">
        <v>105</v>
      </c>
      <c r="P6" t="s">
        <v>106</v>
      </c>
      <c r="Q6">
        <v>28000</v>
      </c>
      <c r="R6">
        <v>274000</v>
      </c>
      <c r="S6">
        <v>1</v>
      </c>
      <c r="T6">
        <v>1</v>
      </c>
      <c r="U6">
        <v>1</v>
      </c>
      <c r="V6" t="s">
        <v>85</v>
      </c>
      <c r="W6" t="s">
        <v>86</v>
      </c>
      <c r="X6">
        <v>0</v>
      </c>
      <c r="Y6">
        <v>0</v>
      </c>
    </row>
    <row r="7" spans="1:28" x14ac:dyDescent="0.25">
      <c r="A7" t="s">
        <v>30</v>
      </c>
      <c r="B7" t="s">
        <v>41</v>
      </c>
      <c r="C7" t="s">
        <v>79</v>
      </c>
      <c r="D7" t="s">
        <v>80</v>
      </c>
      <c r="E7" s="19">
        <v>45680</v>
      </c>
      <c r="F7" t="s">
        <v>29</v>
      </c>
      <c r="G7" t="s">
        <v>31</v>
      </c>
      <c r="H7" s="19">
        <v>45680</v>
      </c>
      <c r="I7" t="s">
        <v>29</v>
      </c>
      <c r="J7" t="s">
        <v>31</v>
      </c>
      <c r="K7" t="s">
        <v>107</v>
      </c>
      <c r="L7" t="s">
        <v>108</v>
      </c>
      <c r="M7" t="s">
        <v>109</v>
      </c>
      <c r="N7" t="s">
        <v>110</v>
      </c>
      <c r="O7" t="s">
        <v>111</v>
      </c>
      <c r="P7" t="s">
        <v>112</v>
      </c>
      <c r="Q7">
        <v>28000</v>
      </c>
      <c r="R7">
        <v>302000</v>
      </c>
      <c r="S7">
        <v>1</v>
      </c>
      <c r="T7">
        <v>1</v>
      </c>
      <c r="U7">
        <v>1</v>
      </c>
      <c r="V7" t="s">
        <v>85</v>
      </c>
      <c r="W7" t="s">
        <v>86</v>
      </c>
      <c r="X7">
        <v>0</v>
      </c>
      <c r="Y7">
        <v>0</v>
      </c>
    </row>
    <row r="8" spans="1:28" x14ac:dyDescent="0.25">
      <c r="A8" t="s">
        <v>30</v>
      </c>
      <c r="B8" t="s">
        <v>41</v>
      </c>
      <c r="C8" t="s">
        <v>79</v>
      </c>
      <c r="D8" t="s">
        <v>80</v>
      </c>
      <c r="E8" s="19">
        <v>45680</v>
      </c>
      <c r="F8" t="s">
        <v>29</v>
      </c>
      <c r="G8" t="s">
        <v>31</v>
      </c>
      <c r="H8" s="19">
        <v>45679</v>
      </c>
      <c r="I8" t="s">
        <v>29</v>
      </c>
      <c r="J8" t="s">
        <v>31</v>
      </c>
      <c r="K8" t="s">
        <v>113</v>
      </c>
      <c r="L8" t="s">
        <v>114</v>
      </c>
      <c r="M8" t="s">
        <v>115</v>
      </c>
      <c r="N8" t="s">
        <v>116</v>
      </c>
      <c r="O8" t="s">
        <v>117</v>
      </c>
      <c r="P8" t="s">
        <v>118</v>
      </c>
      <c r="Q8">
        <v>28000</v>
      </c>
      <c r="R8">
        <v>330000</v>
      </c>
      <c r="S8">
        <v>1</v>
      </c>
      <c r="T8">
        <v>1</v>
      </c>
      <c r="U8">
        <v>1</v>
      </c>
      <c r="V8" t="s">
        <v>85</v>
      </c>
      <c r="W8" t="s">
        <v>86</v>
      </c>
      <c r="X8">
        <v>0</v>
      </c>
      <c r="Y8">
        <v>0</v>
      </c>
    </row>
    <row r="9" spans="1:28" x14ac:dyDescent="0.25">
      <c r="A9" t="s">
        <v>30</v>
      </c>
      <c r="B9" t="s">
        <v>41</v>
      </c>
      <c r="C9" t="s">
        <v>79</v>
      </c>
      <c r="D9" t="s">
        <v>80</v>
      </c>
      <c r="E9" s="19">
        <v>45681</v>
      </c>
      <c r="F9" t="s">
        <v>29</v>
      </c>
      <c r="G9" t="s">
        <v>31</v>
      </c>
      <c r="H9" s="19">
        <v>45681</v>
      </c>
      <c r="I9" t="s">
        <v>29</v>
      </c>
      <c r="J9" t="s">
        <v>31</v>
      </c>
      <c r="K9" t="s">
        <v>119</v>
      </c>
      <c r="L9" t="s">
        <v>120</v>
      </c>
      <c r="M9" t="s">
        <v>121</v>
      </c>
      <c r="N9" t="s">
        <v>122</v>
      </c>
      <c r="O9" t="s">
        <v>123</v>
      </c>
      <c r="P9" t="s">
        <v>124</v>
      </c>
      <c r="Q9">
        <v>28000</v>
      </c>
      <c r="R9">
        <v>358000</v>
      </c>
      <c r="S9">
        <v>1</v>
      </c>
      <c r="T9">
        <v>1</v>
      </c>
      <c r="U9">
        <v>1</v>
      </c>
      <c r="V9" t="s">
        <v>85</v>
      </c>
      <c r="W9" t="s">
        <v>86</v>
      </c>
      <c r="X9">
        <v>0</v>
      </c>
      <c r="Y9">
        <v>0</v>
      </c>
    </row>
    <row r="10" spans="1:28" x14ac:dyDescent="0.25">
      <c r="A10" t="s">
        <v>30</v>
      </c>
      <c r="B10" t="s">
        <v>41</v>
      </c>
      <c r="C10" t="s">
        <v>79</v>
      </c>
      <c r="D10" t="s">
        <v>80</v>
      </c>
      <c r="E10" s="19">
        <v>45681</v>
      </c>
      <c r="F10" t="s">
        <v>29</v>
      </c>
      <c r="G10" t="s">
        <v>31</v>
      </c>
      <c r="I10" t="s">
        <v>29</v>
      </c>
      <c r="J10" t="s">
        <v>31</v>
      </c>
      <c r="K10" t="s">
        <v>97</v>
      </c>
      <c r="L10" t="s">
        <v>98</v>
      </c>
      <c r="M10" t="s">
        <v>125</v>
      </c>
      <c r="N10" t="s">
        <v>126</v>
      </c>
      <c r="Q10">
        <v>99000</v>
      </c>
      <c r="R10">
        <v>457000</v>
      </c>
      <c r="S10">
        <v>1</v>
      </c>
      <c r="T10">
        <v>0</v>
      </c>
      <c r="U10">
        <v>3</v>
      </c>
      <c r="V10" t="s">
        <v>85</v>
      </c>
      <c r="W10" t="s">
        <v>86</v>
      </c>
      <c r="X10">
        <v>0</v>
      </c>
      <c r="Y10">
        <v>0</v>
      </c>
    </row>
    <row r="11" spans="1:28" x14ac:dyDescent="0.25">
      <c r="A11" t="s">
        <v>30</v>
      </c>
      <c r="B11" t="s">
        <v>41</v>
      </c>
      <c r="C11" t="s">
        <v>79</v>
      </c>
      <c r="D11" t="s">
        <v>80</v>
      </c>
      <c r="E11" s="19">
        <v>45686</v>
      </c>
      <c r="F11" t="s">
        <v>29</v>
      </c>
      <c r="G11" t="s">
        <v>31</v>
      </c>
      <c r="H11" s="19">
        <v>45685</v>
      </c>
      <c r="I11" t="s">
        <v>29</v>
      </c>
      <c r="J11" t="s">
        <v>31</v>
      </c>
      <c r="K11" t="s">
        <v>107</v>
      </c>
      <c r="L11" t="s">
        <v>108</v>
      </c>
      <c r="M11" t="s">
        <v>127</v>
      </c>
      <c r="N11" t="s">
        <v>128</v>
      </c>
      <c r="O11" t="s">
        <v>129</v>
      </c>
      <c r="P11" t="s">
        <v>130</v>
      </c>
      <c r="Q11">
        <v>28000</v>
      </c>
      <c r="R11">
        <v>485000</v>
      </c>
      <c r="S11">
        <v>1</v>
      </c>
      <c r="T11">
        <v>1</v>
      </c>
      <c r="U11">
        <v>1</v>
      </c>
      <c r="V11" t="s">
        <v>85</v>
      </c>
      <c r="W11" t="s">
        <v>86</v>
      </c>
      <c r="X11">
        <v>0</v>
      </c>
      <c r="Y11">
        <v>0</v>
      </c>
    </row>
    <row r="12" spans="1:28" x14ac:dyDescent="0.25">
      <c r="A12" t="s">
        <v>30</v>
      </c>
      <c r="B12" t="s">
        <v>41</v>
      </c>
      <c r="C12" t="s">
        <v>79</v>
      </c>
      <c r="D12" t="s">
        <v>80</v>
      </c>
      <c r="E12" s="19">
        <v>45687</v>
      </c>
      <c r="F12" t="s">
        <v>29</v>
      </c>
      <c r="G12" t="s">
        <v>31</v>
      </c>
      <c r="H12" s="19">
        <v>45685</v>
      </c>
      <c r="I12" t="s">
        <v>29</v>
      </c>
      <c r="J12" t="s">
        <v>31</v>
      </c>
      <c r="K12" t="s">
        <v>113</v>
      </c>
      <c r="L12" t="s">
        <v>114</v>
      </c>
      <c r="M12" t="s">
        <v>131</v>
      </c>
      <c r="N12" t="s">
        <v>132</v>
      </c>
      <c r="O12" t="s">
        <v>133</v>
      </c>
      <c r="P12" t="s">
        <v>134</v>
      </c>
      <c r="Q12">
        <v>28000</v>
      </c>
      <c r="R12">
        <v>513000</v>
      </c>
      <c r="S12">
        <v>1</v>
      </c>
      <c r="T12">
        <v>1</v>
      </c>
      <c r="U12">
        <v>1</v>
      </c>
      <c r="V12" t="s">
        <v>85</v>
      </c>
      <c r="W12" t="s">
        <v>86</v>
      </c>
      <c r="X12">
        <v>0</v>
      </c>
      <c r="Y12">
        <v>0</v>
      </c>
    </row>
    <row r="13" spans="1:28" x14ac:dyDescent="0.25">
      <c r="A13" t="s">
        <v>30</v>
      </c>
      <c r="B13" t="s">
        <v>41</v>
      </c>
      <c r="C13" t="s">
        <v>79</v>
      </c>
      <c r="D13" t="s">
        <v>80</v>
      </c>
      <c r="E13" s="19">
        <v>45687</v>
      </c>
      <c r="F13" t="s">
        <v>29</v>
      </c>
      <c r="G13" t="s">
        <v>31</v>
      </c>
      <c r="I13" t="s">
        <v>29</v>
      </c>
      <c r="J13" t="s">
        <v>31</v>
      </c>
      <c r="K13" t="s">
        <v>135</v>
      </c>
      <c r="L13" t="s">
        <v>136</v>
      </c>
      <c r="M13" t="s">
        <v>137</v>
      </c>
      <c r="N13" t="s">
        <v>138</v>
      </c>
      <c r="Q13">
        <v>84000</v>
      </c>
      <c r="R13">
        <v>597000</v>
      </c>
      <c r="S13">
        <v>1</v>
      </c>
      <c r="T13">
        <v>0</v>
      </c>
      <c r="U13">
        <v>3</v>
      </c>
      <c r="V13" t="s">
        <v>85</v>
      </c>
      <c r="W13" t="s">
        <v>86</v>
      </c>
      <c r="X13">
        <v>0</v>
      </c>
      <c r="Y13">
        <v>0</v>
      </c>
    </row>
    <row r="14" spans="1:28" x14ac:dyDescent="0.25">
      <c r="A14" t="s">
        <v>30</v>
      </c>
      <c r="B14" t="s">
        <v>41</v>
      </c>
      <c r="C14" t="s">
        <v>79</v>
      </c>
      <c r="D14" t="s">
        <v>80</v>
      </c>
      <c r="E14" s="19">
        <v>45688</v>
      </c>
      <c r="F14" t="s">
        <v>29</v>
      </c>
      <c r="G14" t="s">
        <v>31</v>
      </c>
      <c r="I14" t="s">
        <v>29</v>
      </c>
      <c r="J14" t="s">
        <v>31</v>
      </c>
      <c r="K14" t="s">
        <v>139</v>
      </c>
      <c r="L14" t="s">
        <v>140</v>
      </c>
      <c r="M14" t="s">
        <v>141</v>
      </c>
      <c r="N14" t="s">
        <v>142</v>
      </c>
      <c r="Q14">
        <v>28000</v>
      </c>
      <c r="R14">
        <v>625000</v>
      </c>
      <c r="S14">
        <v>1</v>
      </c>
      <c r="T14">
        <v>0</v>
      </c>
      <c r="U14">
        <v>1</v>
      </c>
      <c r="V14" t="s">
        <v>85</v>
      </c>
      <c r="W14" t="s">
        <v>86</v>
      </c>
      <c r="X14">
        <v>0</v>
      </c>
      <c r="Y14">
        <v>0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7eff0eb1-075c-4ae5-b77d-0819b1b25be5}" enabled="1" method="Standard" siteId="{a28e9437-6344-4b20-a381-b537222b18c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payout</vt:lpstr>
      <vt:lpstr>info</vt:lpstr>
      <vt:lpstr>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Sorensen</dc:creator>
  <cp:lastModifiedBy>Alan Sorensen</cp:lastModifiedBy>
  <cp:lastPrinted>2024-06-15T00:27:31Z</cp:lastPrinted>
  <dcterms:created xsi:type="dcterms:W3CDTF">2015-06-05T18:17:20Z</dcterms:created>
  <dcterms:modified xsi:type="dcterms:W3CDTF">2025-02-19T21:23:19Z</dcterms:modified>
</cp:coreProperties>
</file>