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9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3" pivotButton="0" quotePrefix="0" xfId="0"/>
    <xf numFmtId="164" fontId="2" fillId="0" borderId="14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164" fontId="2" fillId="0" borderId="21" applyAlignment="1" pivotButton="0" quotePrefix="0" xfId="1">
      <alignment horizontal="center"/>
    </xf>
    <xf numFmtId="165" fontId="2" fillId="0" borderId="4" applyAlignment="1" pivotButton="0" quotePrefix="0" xfId="2">
      <alignment horizontal="center"/>
    </xf>
    <xf numFmtId="10" fontId="2" fillId="0" borderId="22" applyAlignment="1" pivotButton="0" quotePrefix="0" xfId="2">
      <alignment horizontal="center"/>
    </xf>
    <xf numFmtId="165" fontId="2" fillId="0" borderId="7" applyAlignment="1" pivotButton="0" quotePrefix="0" xfId="1">
      <alignment horizontal="center"/>
    </xf>
    <xf numFmtId="166" fontId="0" fillId="0" borderId="0" pivotButton="0" quotePrefix="0" xfId="0"/>
    <xf numFmtId="0" fontId="3" fillId="0" borderId="17" pivotButton="0" quotePrefix="0" xfId="0"/>
    <xf numFmtId="165" fontId="2" fillId="0" borderId="7" applyAlignment="1" pivotButton="0" quotePrefix="0" xfId="0">
      <alignment horizontal="center"/>
    </xf>
    <xf numFmtId="0" fontId="6" fillId="0" borderId="23" applyAlignment="1" pivotButton="0" quotePrefix="0" xfId="0">
      <alignment horizontal="center" vertical="top"/>
    </xf>
    <xf numFmtId="167" fontId="0" fillId="0" borderId="0" pivotButton="0" quotePrefix="0" xfId="0"/>
    <xf numFmtId="0" fontId="3" fillId="0" borderId="19" pivotButton="0" quotePrefix="0" xfId="0"/>
    <xf numFmtId="0" fontId="0" fillId="0" borderId="20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2" fillId="0" borderId="5" applyAlignment="1" pivotButton="0" quotePrefix="0" xfId="0">
      <alignment horizontal="left"/>
    </xf>
    <xf numFmtId="0" fontId="4" fillId="2" borderId="5" applyAlignment="1" pivotButton="0" quotePrefix="0" xfId="0">
      <alignment horizontal="center" vertical="center"/>
    </xf>
    <xf numFmtId="0" fontId="0" fillId="0" borderId="10" pivotButton="0" quotePrefix="0" xfId="0"/>
    <xf numFmtId="0" fontId="3" fillId="0" borderId="3" applyAlignment="1" pivotButton="0" quotePrefix="0" xfId="0">
      <alignment horizontal="left"/>
    </xf>
    <xf numFmtId="0" fontId="4" fillId="2" borderId="1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15" applyAlignment="1" pivotButton="0" quotePrefix="0" xfId="0">
      <alignment horizontal="left" wrapText="1"/>
    </xf>
    <xf numFmtId="0" fontId="0" fillId="0" borderId="16" pivotButton="0" quotePrefix="0" xfId="0"/>
    <xf numFmtId="0" fontId="3" fillId="0" borderId="17" applyAlignment="1" pivotButton="0" quotePrefix="0" xfId="0">
      <alignment horizontal="left"/>
    </xf>
    <xf numFmtId="0" fontId="0" fillId="0" borderId="18" pivotButton="0" quotePrefix="0" xfId="0"/>
    <xf numFmtId="0" fontId="4" fillId="4" borderId="5" applyAlignment="1" pivotButton="0" quotePrefix="0" xfId="0">
      <alignment horizontal="center"/>
    </xf>
    <xf numFmtId="0" fontId="3" fillId="0" borderId="12" pivotButton="0" quotePrefix="0" xfId="0"/>
    <xf numFmtId="0" fontId="0" fillId="0" borderId="8" pivotButton="0" quotePrefix="0" xfId="0"/>
    <xf numFmtId="0" fontId="3" fillId="0" borderId="3" applyAlignment="1" pivotButton="0" quotePrefix="0" xfId="0">
      <alignment horizontal="left" wrapText="1"/>
    </xf>
    <xf numFmtId="0" fontId="3" fillId="0" borderId="12" applyAlignment="1" pivotButton="0" quotePrefix="0" xfId="0">
      <alignment horizontal="left"/>
    </xf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934307</colOff>
      <row>3</row>
      <rowOff>170953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8"/>
  <sheetViews>
    <sheetView tabSelected="1" view="pageBreakPreview" zoomScale="105" zoomScaleNormal="100" workbookViewId="0">
      <selection activeCell="B3" sqref="B3"/>
    </sheetView>
  </sheetViews>
  <sheetFormatPr baseColWidth="8" defaultRowHeight="15.75"/>
  <cols>
    <col width="0.7109375" customWidth="1" style="1" min="1" max="1"/>
    <col width="23.42578125" customWidth="1" style="1" min="2" max="2"/>
    <col width="13.85546875" customWidth="1" style="1" min="3" max="3"/>
    <col width="11.85546875" customWidth="1" style="1" min="4" max="4"/>
    <col width="10.28515625" customWidth="1" style="1" min="5" max="5"/>
    <col width="13.71093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info!B1</f>
        <v/>
      </c>
    </row>
    <row r="5">
      <c r="B5" s="2" t="inlineStr">
        <is>
          <t>Clinical Specialist</t>
        </is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 ht="16.5" customHeight="1" thickBot="1">
      <c r="B10" s="4" t="inlineStr">
        <is>
          <t>YTD Region Sales</t>
        </is>
      </c>
      <c r="C10" s="16">
        <f>_xlfn.IFNA(_xlfn.XLOOKUP("YTD_SALES", payout!$G:$G, payout!$F:$F), 0)</f>
        <v/>
      </c>
      <c r="E10" s="40" t="inlineStr">
        <is>
          <t>FY Territory SI Target</t>
        </is>
      </c>
      <c r="F10" s="41" t="n"/>
      <c r="G10" s="18">
        <f>info!B6</f>
        <v/>
      </c>
    </row>
    <row r="11" ht="16.5" customHeight="1" thickBot="1" thickTop="1">
      <c r="A11" s="6" t="n"/>
      <c r="B11" s="20" t="inlineStr">
        <is>
          <t>FY Plan</t>
        </is>
      </c>
      <c r="C11" s="21">
        <f>info!B8</f>
        <v/>
      </c>
      <c r="E11" s="24" t="inlineStr">
        <is>
          <t>FY Territory SI Earned</t>
        </is>
      </c>
      <c r="F11" s="25" t="n"/>
      <c r="G11" s="15">
        <f>(_xlfn.XLOOKUP("YTD_REGIONAL_PO",payout!G:G,payout!F:F))</f>
        <v/>
      </c>
    </row>
    <row r="12" ht="17.25" customHeight="1" thickBot="1" thickTop="1">
      <c r="B12" s="12" t="inlineStr">
        <is>
          <t>% to FY Plan</t>
        </is>
      </c>
      <c r="C12" s="17">
        <f>C10/C11</f>
        <v/>
      </c>
      <c r="E12" s="37" t="inlineStr">
        <is>
          <t>Less Prior Paid</t>
        </is>
      </c>
      <c r="F12" s="38" t="n"/>
      <c r="G12" s="14">
        <f>G11-G13</f>
        <v/>
      </c>
    </row>
    <row r="13" ht="16.5" customHeight="1" thickTop="1">
      <c r="E13" s="35" t="inlineStr">
        <is>
          <t>Region Payout</t>
        </is>
      </c>
      <c r="F13" s="36" t="n"/>
      <c r="G13" s="13">
        <f>IFERROR(_xlfn.XLOOKUP("REGIONAL_PO", payout!G:G,payout!F:F), 0)</f>
        <v/>
      </c>
    </row>
    <row r="14" ht="16.5" customHeight="1">
      <c r="D14" s="6">
        <f>IF(G14&gt;0, 1, 0)</f>
        <v/>
      </c>
      <c r="E14" s="42" t="inlineStr">
        <is>
          <t>Target Payout</t>
        </is>
      </c>
      <c r="F14" s="27" t="n"/>
      <c r="G14" s="13">
        <f>IFERROR(_xlfn.XLOOKUP("TGT_PO", payout!G:G,payout!F:F), 0)</f>
        <v/>
      </c>
    </row>
    <row r="15">
      <c r="D15" s="6">
        <f>IF(G15&gt;0, 1, 0)</f>
        <v/>
      </c>
      <c r="E15" s="31" t="inlineStr">
        <is>
          <t>Guarantee Adjustment</t>
        </is>
      </c>
      <c r="F15" s="27" t="n"/>
      <c r="G15" s="5">
        <f>IFERROR(_xlfn.XLOOKUP("GUR_AMT",payout!G:G,payout!F:F), 0)</f>
        <v/>
      </c>
    </row>
    <row r="16" ht="16.5" customHeight="1" thickBot="1">
      <c r="D16" s="6">
        <f>IF(G16&gt;0, 1, 0)</f>
        <v/>
      </c>
      <c r="E16" s="43" t="inlineStr">
        <is>
          <t>Other Adjustments</t>
        </is>
      </c>
      <c r="F16" s="41" t="n"/>
      <c r="G16" s="7">
        <f>IFERROR(_xlfn.XLOOKUP("ADJUSTMENTS", payout!G:G,payout!F:F), 0)</f>
        <v/>
      </c>
    </row>
    <row r="17" ht="17.25" customHeight="1" thickBot="1" thickTop="1">
      <c r="E17" s="37" t="inlineStr">
        <is>
          <t>Final Payout</t>
        </is>
      </c>
      <c r="F17" s="38" t="n"/>
      <c r="G17" s="8">
        <f>_xlfn.XLOOKUP("PO_AMT", payout!G:G,payout!F:F)</f>
        <v/>
      </c>
    </row>
    <row r="18" ht="16.5" customHeight="1" thickTop="1"/>
    <row r="20">
      <c r="B20" s="29" t="inlineStr">
        <is>
          <t xml:space="preserve">Opportunity Detail </t>
        </is>
      </c>
      <c r="C20" s="30" t="n"/>
      <c r="D20" s="30" t="n"/>
      <c r="E20" s="30" t="n"/>
      <c r="F20" s="30" t="n"/>
      <c r="G20" s="27" t="n"/>
    </row>
    <row r="21">
      <c r="B21" s="39" t="inlineStr">
        <is>
          <t>Account</t>
        </is>
      </c>
      <c r="C21" s="27" t="n"/>
      <c r="D21" s="39" t="inlineStr">
        <is>
          <t>Opp Name</t>
        </is>
      </c>
      <c r="E21" s="27" t="n"/>
      <c r="F21" s="39" t="inlineStr">
        <is>
          <t>Sales</t>
        </is>
      </c>
      <c r="G21" s="39" t="inlineStr">
        <is>
          <t>Rev Units</t>
        </is>
      </c>
    </row>
    <row r="22">
      <c r="B22" s="28">
        <f>IF(LEN(detail!K2)&lt;1,"",detail!K2)</f>
        <v/>
      </c>
      <c r="C22" s="27" t="n"/>
      <c r="D22" s="26">
        <f>IF(LEN(detail!M2)&lt;1,"",detail!M2) &amp; IF(detail!Y2&lt;&gt;0, "*", "")</f>
        <v/>
      </c>
      <c r="E22" s="27" t="n"/>
      <c r="F22" s="11">
        <f>IF(LEN(detail!R2)&lt;1,"",IF(detail!X2 &lt;&gt; "Revenue Recognized", 0, detail!R2))</f>
        <v/>
      </c>
      <c r="G22" s="26">
        <f>IF(LEN(detail!V2)&lt;1,"",detail!V2)</f>
        <v/>
      </c>
    </row>
    <row r="23">
      <c r="B23" s="28">
        <f>IF(LEN(detail!K3)&lt;1,"",detail!K3)</f>
        <v/>
      </c>
      <c r="C23" s="27" t="n"/>
      <c r="D23" s="26">
        <f>IF(LEN(detail!M3)&lt;1,"",detail!M3) &amp; IF(detail!Y3&lt;&gt;0, "*", "")</f>
        <v/>
      </c>
      <c r="E23" s="27" t="n"/>
      <c r="F23" s="11">
        <f>IF(LEN(detail!R3)&lt;1,"",IF(detail!X3 &lt;&gt; "Revenue Recognized", 0, detail!R3))</f>
        <v/>
      </c>
      <c r="G23" s="26">
        <f>IF(LEN(detail!V3)&lt;1,"",detail!V3)</f>
        <v/>
      </c>
    </row>
    <row r="24">
      <c r="B24" s="28">
        <f>IF(LEN(detail!K4)&lt;1,"",detail!K4)</f>
        <v/>
      </c>
      <c r="C24" s="27" t="n"/>
      <c r="D24" s="26">
        <f>IF(LEN(detail!M4)&lt;1,"",detail!M4) &amp; IF(detail!Y4&lt;&gt;0, "*", "")</f>
        <v/>
      </c>
      <c r="E24" s="27" t="n"/>
      <c r="F24" s="11">
        <f>IF(LEN(detail!R4)&lt;1,"",IF(detail!X4 &lt;&gt; "Revenue Recognized", 0, detail!R4))</f>
        <v/>
      </c>
      <c r="G24" s="26">
        <f>IF(LEN(detail!V4)&lt;1,"",detail!V4)</f>
        <v/>
      </c>
    </row>
    <row r="25">
      <c r="B25" s="28">
        <f>IF(LEN(detail!K5)&lt;1,"",detail!K5)</f>
        <v/>
      </c>
      <c r="C25" s="27" t="n"/>
      <c r="D25" s="26">
        <f>IF(LEN(detail!M5)&lt;1,"",detail!M5) &amp; IF(detail!Y5&lt;&gt;0, "*", "")</f>
        <v/>
      </c>
      <c r="E25" s="27" t="n"/>
      <c r="F25" s="11">
        <f>IF(LEN(detail!R5)&lt;1,"",IF(detail!X5 &lt;&gt; "Revenue Recognized", 0, detail!R5))</f>
        <v/>
      </c>
      <c r="G25" s="26">
        <f>IF(LEN(detail!V5)&lt;1,"",detail!V5)</f>
        <v/>
      </c>
    </row>
    <row r="26">
      <c r="B26" s="28">
        <f>IF(LEN(detail!K6)&lt;1,"",detail!K6)</f>
        <v/>
      </c>
      <c r="C26" s="27" t="n"/>
      <c r="D26" s="26">
        <f>IF(LEN(detail!M6)&lt;1,"",detail!M6) &amp; IF(detail!Y6&lt;&gt;0, "*", "")</f>
        <v/>
      </c>
      <c r="E26" s="27" t="n"/>
      <c r="F26" s="11">
        <f>IF(LEN(detail!R6)&lt;1,"",IF(detail!X6 &lt;&gt; "Revenue Recognized", 0, detail!R6))</f>
        <v/>
      </c>
      <c r="G26" s="26">
        <f>IF(LEN(detail!V6)&lt;1,"",detail!V6)</f>
        <v/>
      </c>
    </row>
    <row r="27">
      <c r="B27" s="28">
        <f>IF(LEN(detail!K7)&lt;1,"",detail!K7)</f>
        <v/>
      </c>
      <c r="C27" s="27" t="n"/>
      <c r="D27" s="26">
        <f>IF(LEN(detail!M7)&lt;1,"",detail!M7) &amp; IF(detail!Y7&lt;&gt;0, "*", "")</f>
        <v/>
      </c>
      <c r="E27" s="27" t="n"/>
      <c r="F27" s="11">
        <f>IF(LEN(detail!R7)&lt;1,"",IF(detail!X7 &lt;&gt; "Revenue Recognized", 0, detail!R7))</f>
        <v/>
      </c>
      <c r="G27" s="26">
        <f>IF(LEN(detail!V7)&lt;1,"",detail!V7)</f>
        <v/>
      </c>
    </row>
    <row r="28">
      <c r="B28" s="28">
        <f>IF(LEN(detail!K8)&lt;1,"",detail!K8)</f>
        <v/>
      </c>
      <c r="C28" s="27" t="n"/>
      <c r="D28" s="26">
        <f>IF(LEN(detail!M8)&lt;1,"",detail!M8) &amp; IF(detail!Y8&lt;&gt;0, "*", "")</f>
        <v/>
      </c>
      <c r="E28" s="27" t="n"/>
      <c r="F28" s="11">
        <f>IF(LEN(detail!R8)&lt;1,"",IF(detail!X8 &lt;&gt; "Revenue Recognized", 0, detail!R8))</f>
        <v/>
      </c>
      <c r="G28" s="26">
        <f>IF(LEN(detail!V8)&lt;1,"",detail!V8)</f>
        <v/>
      </c>
    </row>
    <row r="29">
      <c r="B29" s="28">
        <f>IF(LEN(detail!K9)&lt;1,"",detail!K9)</f>
        <v/>
      </c>
      <c r="C29" s="27" t="n"/>
      <c r="D29" s="26">
        <f>IF(LEN(detail!M9)&lt;1,"",detail!M9) &amp; IF(detail!Y9&lt;&gt;0, "*", "")</f>
        <v/>
      </c>
      <c r="E29" s="27" t="n"/>
      <c r="F29" s="11">
        <f>IF(LEN(detail!R9)&lt;1,"",IF(detail!X9 &lt;&gt; "Revenue Recognized", 0, detail!R9))</f>
        <v/>
      </c>
      <c r="G29" s="26">
        <f>IF(LEN(detail!V9)&lt;1,"",detail!V9)</f>
        <v/>
      </c>
    </row>
    <row r="30">
      <c r="B30" s="28">
        <f>IF(LEN(detail!K10)&lt;1,"",detail!K10)</f>
        <v/>
      </c>
      <c r="C30" s="27" t="n"/>
      <c r="D30" s="26">
        <f>IF(LEN(detail!M10)&lt;1,"",detail!M10) &amp; IF(detail!Y10&lt;&gt;0, "*", "")</f>
        <v/>
      </c>
      <c r="E30" s="27" t="n"/>
      <c r="F30" s="11">
        <f>IF(LEN(detail!R10)&lt;1,"",IF(detail!X10 &lt;&gt; "Revenue Recognized", 0, detail!R10))</f>
        <v/>
      </c>
      <c r="G30" s="26">
        <f>IF(LEN(detail!V10)&lt;1,"",detail!V10)</f>
        <v/>
      </c>
    </row>
    <row r="31">
      <c r="B31" s="28">
        <f>IF(LEN(detail!K11)&lt;1,"",detail!K11)</f>
        <v/>
      </c>
      <c r="C31" s="27" t="n"/>
      <c r="D31" s="26">
        <f>IF(LEN(detail!M11)&lt;1,"",detail!M11) &amp; IF(detail!Y11&lt;&gt;0, "*", "")</f>
        <v/>
      </c>
      <c r="E31" s="27" t="n"/>
      <c r="F31" s="11">
        <f>IF(LEN(detail!R11)&lt;1,"",IF(detail!X11 &lt;&gt; "Revenue Recognized", 0, detail!R11))</f>
        <v/>
      </c>
      <c r="G31" s="26">
        <f>IF(LEN(detail!V11)&lt;1,"",detail!V11)</f>
        <v/>
      </c>
    </row>
    <row r="32">
      <c r="B32" s="28">
        <f>IF(LEN(detail!K12)&lt;1,"",detail!K12)</f>
        <v/>
      </c>
      <c r="C32" s="27" t="n"/>
      <c r="D32" s="26">
        <f>IF(LEN(detail!M12)&lt;1,"",detail!M12) &amp; IF(detail!Y12&lt;&gt;0, "*", "")</f>
        <v/>
      </c>
      <c r="E32" s="27" t="n"/>
      <c r="F32" s="11">
        <f>IF(LEN(detail!R12)&lt;1,"",IF(detail!X12 &lt;&gt; "Revenue Recognized", 0, detail!R12))</f>
        <v/>
      </c>
      <c r="G32" s="26">
        <f>IF(LEN(detail!V12)&lt;1,"",detail!V12)</f>
        <v/>
      </c>
    </row>
    <row r="33">
      <c r="B33" s="28">
        <f>IF(LEN(detail!K13)&lt;1,"",detail!K13)</f>
        <v/>
      </c>
      <c r="C33" s="27" t="n"/>
      <c r="D33" s="26">
        <f>IF(LEN(detail!M13)&lt;1,"",detail!M13) &amp; IF(detail!Y13&lt;&gt;0, "*", "")</f>
        <v/>
      </c>
      <c r="E33" s="27" t="n"/>
      <c r="F33" s="11">
        <f>IF(LEN(detail!R13)&lt;1,"",IF(detail!X13 &lt;&gt; "Revenue Recognized", 0, detail!R13))</f>
        <v/>
      </c>
      <c r="G33" s="26">
        <f>IF(LEN(detail!V13)&lt;1,"",detail!V13)</f>
        <v/>
      </c>
    </row>
    <row r="34">
      <c r="B34" s="28">
        <f>IF(LEN(detail!K14)&lt;1,"",detail!K14)</f>
        <v/>
      </c>
      <c r="C34" s="27" t="n"/>
      <c r="D34" s="26">
        <f>IF(LEN(detail!M14)&lt;1,"",detail!M14) &amp; IF(detail!Y14&lt;&gt;0, "*", "")</f>
        <v/>
      </c>
      <c r="E34" s="27" t="n"/>
      <c r="F34" s="11">
        <f>IF(LEN(detail!R14)&lt;1,"",IF(detail!X14 &lt;&gt; "Revenue Recognized", 0, detail!R14))</f>
        <v/>
      </c>
      <c r="G34" s="26">
        <f>IF(LEN(detail!V14)&lt;1,"",detail!V14)</f>
        <v/>
      </c>
    </row>
    <row r="35">
      <c r="B35" s="28">
        <f>IF(LEN(detail!K15)&lt;1,"",detail!K15)</f>
        <v/>
      </c>
      <c r="C35" s="27" t="n"/>
      <c r="D35" s="26">
        <f>IF(LEN(detail!M15)&lt;1,"",detail!M15) &amp; IF(detail!Y15&lt;&gt;0, "*", "")</f>
        <v/>
      </c>
      <c r="E35" s="27" t="n"/>
      <c r="F35" s="11">
        <f>IF(LEN(detail!R15)&lt;1,"",IF(detail!X15 &lt;&gt; "Revenue Recognized", 0, detail!R15))</f>
        <v/>
      </c>
      <c r="G35" s="26">
        <f>IF(LEN(detail!V15)&lt;1,"",detail!V15)</f>
        <v/>
      </c>
    </row>
    <row r="36">
      <c r="B36" s="28">
        <f>IF(LEN(detail!K16)&lt;1,"",detail!K16)</f>
        <v/>
      </c>
      <c r="C36" s="27" t="n"/>
      <c r="D36" s="26">
        <f>IF(LEN(detail!M16)&lt;1,"",detail!M16) &amp; IF(detail!Y16&lt;&gt;0, "*", "")</f>
        <v/>
      </c>
      <c r="E36" s="27" t="n"/>
      <c r="F36" s="11">
        <f>IF(LEN(detail!R16)&lt;1,"",IF(detail!X16 &lt;&gt; "Revenue Recognized", 0, detail!R16))</f>
        <v/>
      </c>
      <c r="G36" s="26">
        <f>IF(LEN(detail!V16)&lt;1,"",detail!V16)</f>
        <v/>
      </c>
    </row>
    <row r="37">
      <c r="B37" s="28">
        <f>IF(LEN(detail!K17)&lt;1,"",detail!K17)</f>
        <v/>
      </c>
      <c r="C37" s="27" t="n"/>
      <c r="D37" s="26">
        <f>IF(LEN(detail!M17)&lt;1,"",detail!M17) &amp; IF(detail!Y17&lt;&gt;0, "*", "")</f>
        <v/>
      </c>
      <c r="E37" s="27" t="n"/>
      <c r="F37" s="11">
        <f>IF(LEN(detail!R17)&lt;1,"",IF(detail!X17 &lt;&gt; "Revenue Recognized", 0, detail!R17))</f>
        <v/>
      </c>
      <c r="G37" s="26">
        <f>IF(LEN(detail!V17)&lt;1,"",detail!V17)</f>
        <v/>
      </c>
    </row>
    <row r="38">
      <c r="B38" s="28">
        <f>IF(LEN(detail!K18)&lt;1,"",detail!K18)</f>
        <v/>
      </c>
      <c r="C38" s="27" t="n"/>
      <c r="D38" s="26">
        <f>IF(LEN(detail!M18)&lt;1,"",detail!M18) &amp; IF(detail!Y18&lt;&gt;0, "*", "")</f>
        <v/>
      </c>
      <c r="E38" s="27" t="n"/>
      <c r="F38" s="11">
        <f>IF(LEN(detail!R18)&lt;1,"",IF(detail!X18 &lt;&gt; "Revenue Recognized", 0, detail!R18))</f>
        <v/>
      </c>
      <c r="G38" s="26">
        <f>IF(LEN(detail!V18)&lt;1,"",detail!V18)</f>
        <v/>
      </c>
    </row>
    <row r="39">
      <c r="B39" s="28">
        <f>IF(LEN(detail!K19)&lt;1,"",detail!K19)</f>
        <v/>
      </c>
      <c r="C39" s="27" t="n"/>
      <c r="D39" s="26">
        <f>IF(LEN(detail!M19)&lt;1,"",detail!M19) &amp; IF(detail!Y19&lt;&gt;0, "*", "")</f>
        <v/>
      </c>
      <c r="E39" s="27" t="n"/>
      <c r="F39" s="11">
        <f>IF(LEN(detail!R19)&lt;1,"",IF(detail!X19 &lt;&gt; "Revenue Recognized", 0, detail!R19))</f>
        <v/>
      </c>
      <c r="G39" s="26">
        <f>IF(LEN(detail!V19)&lt;1,"",detail!V19)</f>
        <v/>
      </c>
    </row>
    <row r="40">
      <c r="B40" s="28">
        <f>IF(LEN(detail!K20)&lt;1,"",detail!K20)</f>
        <v/>
      </c>
      <c r="C40" s="27" t="n"/>
      <c r="D40" s="26">
        <f>IF(LEN(detail!M20)&lt;1,"",detail!M20) &amp; IF(detail!Y20&lt;&gt;0, "*", "")</f>
        <v/>
      </c>
      <c r="E40" s="27" t="n"/>
      <c r="F40" s="11">
        <f>IF(LEN(detail!R20)&lt;1,"",IF(detail!X20 &lt;&gt; "Revenue Recognized", 0, detail!R20))</f>
        <v/>
      </c>
      <c r="G40" s="26">
        <f>IF(LEN(detail!V20)&lt;1,"",detail!V20)</f>
        <v/>
      </c>
    </row>
    <row r="41">
      <c r="B41" s="28">
        <f>IF(LEN(detail!K21)&lt;1,"",detail!K21)</f>
        <v/>
      </c>
      <c r="C41" s="27" t="n"/>
      <c r="D41" s="26">
        <f>IF(LEN(detail!M21)&lt;1,"",detail!M21) &amp; IF(detail!Y21&lt;&gt;0, "*", "")</f>
        <v/>
      </c>
      <c r="E41" s="27" t="n"/>
      <c r="F41" s="11">
        <f>IF(LEN(detail!R21)&lt;1,"",IF(detail!X21 &lt;&gt; "Revenue Recognized", 0, detail!R21))</f>
        <v/>
      </c>
      <c r="G41" s="26">
        <f>IF(LEN(detail!V21)&lt;1,"",detail!V21)</f>
        <v/>
      </c>
    </row>
    <row r="42">
      <c r="B42" s="28">
        <f>IF(LEN(detail!K22)&lt;1,"",detail!K22)</f>
        <v/>
      </c>
      <c r="C42" s="27" t="n"/>
      <c r="D42" s="26">
        <f>IF(LEN(detail!M22)&lt;1,"",detail!M22) &amp; IF(detail!Y22&lt;&gt;0, "*", "")</f>
        <v/>
      </c>
      <c r="E42" s="27" t="n"/>
      <c r="F42" s="11">
        <f>IF(LEN(detail!R22)&lt;1,"",IF(detail!X22 &lt;&gt; "Revenue Recognized", 0, detail!R22))</f>
        <v/>
      </c>
      <c r="G42" s="26">
        <f>IF(LEN(detail!V22)&lt;1,"",detail!V22)</f>
        <v/>
      </c>
    </row>
    <row r="43">
      <c r="B43" s="28">
        <f>IF(LEN(detail!K23)&lt;1,"",detail!K23)</f>
        <v/>
      </c>
      <c r="C43" s="27" t="n"/>
      <c r="D43" s="26">
        <f>IF(LEN(detail!M23)&lt;1,"",detail!M23) &amp; IF(detail!Y23&lt;&gt;0, "*", "")</f>
        <v/>
      </c>
      <c r="E43" s="27" t="n"/>
      <c r="F43" s="11">
        <f>IF(LEN(detail!R23)&lt;1,"",IF(detail!X23 &lt;&gt; "Revenue Recognized", 0, detail!R23))</f>
        <v/>
      </c>
      <c r="G43" s="26">
        <f>IF(LEN(detail!V23)&lt;1,"",detail!V23)</f>
        <v/>
      </c>
    </row>
    <row r="44">
      <c r="B44" s="28">
        <f>IF(LEN(detail!K24)&lt;1,"",detail!K24)</f>
        <v/>
      </c>
      <c r="C44" s="27" t="n"/>
      <c r="D44" s="26">
        <f>IF(LEN(detail!M24)&lt;1,"",detail!M24) &amp; IF(detail!Y24&lt;&gt;0, "*", "")</f>
        <v/>
      </c>
      <c r="E44" s="27" t="n"/>
      <c r="F44" s="11">
        <f>IF(LEN(detail!R24)&lt;1,"",IF(detail!X24 &lt;&gt; "Revenue Recognized", 0, detail!R24))</f>
        <v/>
      </c>
      <c r="G44" s="26">
        <f>IF(LEN(detail!V24)&lt;1,"",detail!V24)</f>
        <v/>
      </c>
    </row>
    <row r="45">
      <c r="B45" s="28">
        <f>IF(LEN(detail!K25)&lt;1,"",detail!K25)</f>
        <v/>
      </c>
      <c r="C45" s="27" t="n"/>
      <c r="D45" s="26">
        <f>IF(LEN(detail!M25)&lt;1,"",detail!M25) &amp; IF(detail!Y25&lt;&gt;0, "*", "")</f>
        <v/>
      </c>
      <c r="E45" s="27" t="n"/>
      <c r="F45" s="11">
        <f>IF(LEN(detail!R25)&lt;1,"",IF(detail!X25 &lt;&gt; "Revenue Recognized", 0, detail!R25))</f>
        <v/>
      </c>
      <c r="G45" s="26">
        <f>IF(LEN(detail!V25)&lt;1,"",detail!V25)</f>
        <v/>
      </c>
    </row>
    <row r="46">
      <c r="B46" s="28">
        <f>IF(LEN(detail!K26)&lt;1,"",detail!K26)</f>
        <v/>
      </c>
      <c r="C46" s="27" t="n"/>
      <c r="D46" s="26">
        <f>IF(LEN(detail!M26)&lt;1,"",detail!M26) &amp; IF(detail!Y26&lt;&gt;0, "*", "")</f>
        <v/>
      </c>
      <c r="E46" s="27" t="n"/>
      <c r="F46" s="11">
        <f>IF(LEN(detail!R26)&lt;1,"",IF(detail!X26 &lt;&gt; "Revenue Recognized", 0, detail!R26))</f>
        <v/>
      </c>
      <c r="G46" s="26">
        <f>IF(LEN(detail!V26)&lt;1,"",detail!V26)</f>
        <v/>
      </c>
    </row>
    <row r="47">
      <c r="B47" s="28">
        <f>IF(LEN(detail!K27)&lt;1,"",detail!K27)</f>
        <v/>
      </c>
      <c r="C47" s="27" t="n"/>
      <c r="D47" s="26">
        <f>IF(LEN(detail!M27)&lt;1,"",detail!M27) &amp; IF(detail!Y27&lt;&gt;0, "*", "")</f>
        <v/>
      </c>
      <c r="E47" s="27" t="n"/>
      <c r="F47" s="11">
        <f>IF(LEN(detail!R27)&lt;1,"",IF(detail!X27 &lt;&gt; "Revenue Recognized", 0, detail!R27))</f>
        <v/>
      </c>
      <c r="G47" s="26">
        <f>IF(LEN(detail!V27)&lt;1,"",detail!V27)</f>
        <v/>
      </c>
    </row>
    <row r="48">
      <c r="B48" s="28">
        <f>IF(LEN(detail!K28)&lt;1,"",detail!K28)</f>
        <v/>
      </c>
      <c r="C48" s="27" t="n"/>
      <c r="D48" s="26">
        <f>IF(LEN(detail!M28)&lt;1,"",detail!M28) &amp; IF(detail!Y28&lt;&gt;0, "*", "")</f>
        <v/>
      </c>
      <c r="E48" s="27" t="n"/>
      <c r="F48" s="11">
        <f>IF(LEN(detail!R28)&lt;1,"",IF(detail!X28 &lt;&gt; "Revenue Recognized", 0, detail!R28))</f>
        <v/>
      </c>
      <c r="G48" s="26">
        <f>IF(LEN(detail!V28)&lt;1,"",detail!V28)</f>
        <v/>
      </c>
    </row>
    <row r="49">
      <c r="B49" s="28">
        <f>IF(LEN(detail!K29)&lt;1,"",detail!K29)</f>
        <v/>
      </c>
      <c r="C49" s="27" t="n"/>
      <c r="D49" s="26">
        <f>IF(LEN(detail!M29)&lt;1,"",detail!M29) &amp; IF(detail!Y29&lt;&gt;0, "*", "")</f>
        <v/>
      </c>
      <c r="E49" s="27" t="n"/>
      <c r="F49" s="11">
        <f>IF(LEN(detail!R29)&lt;1,"",IF(detail!X29 &lt;&gt; "Revenue Recognized", 0, detail!R29))</f>
        <v/>
      </c>
      <c r="G49" s="26">
        <f>IF(LEN(detail!V29)&lt;1,"",detail!V29)</f>
        <v/>
      </c>
    </row>
    <row r="50">
      <c r="B50" s="28">
        <f>IF(LEN(detail!K30)&lt;1,"",detail!K30)</f>
        <v/>
      </c>
      <c r="C50" s="27" t="n"/>
      <c r="D50" s="26">
        <f>IF(LEN(detail!M30)&lt;1,"",detail!M30) &amp; IF(detail!Y30&lt;&gt;0, "*", "")</f>
        <v/>
      </c>
      <c r="E50" s="27" t="n"/>
      <c r="F50" s="11">
        <f>IF(LEN(detail!R30)&lt;1,"",IF(detail!X30 &lt;&gt; "Revenue Recognized", 0, detail!R30))</f>
        <v/>
      </c>
      <c r="G50" s="26">
        <f>IF(LEN(detail!V30)&lt;1,"",detail!V30)</f>
        <v/>
      </c>
    </row>
    <row r="51">
      <c r="B51" s="28">
        <f>IF(LEN(detail!K31)&lt;1,"",detail!K31)</f>
        <v/>
      </c>
      <c r="C51" s="27" t="n"/>
      <c r="D51" s="26">
        <f>IF(LEN(detail!M31)&lt;1,"",detail!M31) &amp; IF(detail!Y31&lt;&gt;0, "*", "")</f>
        <v/>
      </c>
      <c r="E51" s="27" t="n"/>
      <c r="F51" s="11">
        <f>IF(LEN(detail!R31)&lt;1,"",IF(detail!X31 &lt;&gt; "Revenue Recognized", 0, detail!R31))</f>
        <v/>
      </c>
      <c r="G51" s="26">
        <f>IF(LEN(detail!V31)&lt;1,"",detail!V31)</f>
        <v/>
      </c>
    </row>
    <row r="52">
      <c r="B52" s="28">
        <f>IF(LEN(detail!K32)&lt;1,"",detail!K32)</f>
        <v/>
      </c>
      <c r="C52" s="27" t="n"/>
      <c r="D52" s="26">
        <f>IF(LEN(detail!M32)&lt;1,"",detail!M32) &amp; IF(detail!Y32&lt;&gt;0, "*", "")</f>
        <v/>
      </c>
      <c r="E52" s="27" t="n"/>
      <c r="F52" s="11">
        <f>IF(LEN(detail!R32)&lt;1,"",IF(detail!X32 &lt;&gt; "Revenue Recognized", 0, detail!R32))</f>
        <v/>
      </c>
      <c r="G52" s="26">
        <f>IF(LEN(detail!V32)&lt;1,"",detail!V32)</f>
        <v/>
      </c>
    </row>
    <row r="53">
      <c r="B53" s="28">
        <f>IF(LEN(detail!K33)&lt;1,"",detail!K33)</f>
        <v/>
      </c>
      <c r="C53" s="27" t="n"/>
      <c r="D53" s="26">
        <f>IF(LEN(detail!M33)&lt;1,"",detail!M33) &amp; IF(detail!Y33&lt;&gt;0, "*", "")</f>
        <v/>
      </c>
      <c r="E53" s="27" t="n"/>
      <c r="F53" s="11">
        <f>IF(LEN(detail!R33)&lt;1,"",IF(detail!X33 &lt;&gt; "Revenue Recognized", 0, detail!R33))</f>
        <v/>
      </c>
      <c r="G53" s="26">
        <f>IF(LEN(detail!V33)&lt;1,"",detail!V33)</f>
        <v/>
      </c>
    </row>
    <row r="54">
      <c r="B54" s="28">
        <f>IF(LEN(detail!K34)&lt;1,"",detail!K34)</f>
        <v/>
      </c>
      <c r="C54" s="27" t="n"/>
      <c r="D54" s="26">
        <f>IF(LEN(detail!M34)&lt;1,"",detail!M34) &amp; IF(detail!Y34&lt;&gt;0, "*", "")</f>
        <v/>
      </c>
      <c r="E54" s="27" t="n"/>
      <c r="F54" s="11">
        <f>IF(LEN(detail!R34)&lt;1,"",IF(detail!X34 &lt;&gt; "Revenue Recognized", 0, detail!R34))</f>
        <v/>
      </c>
      <c r="G54" s="26">
        <f>IF(LEN(detail!V34)&lt;1,"",detail!V34)</f>
        <v/>
      </c>
    </row>
    <row r="55">
      <c r="B55" s="28">
        <f>IF(LEN(detail!K44)&lt;1,"",detail!K44)</f>
        <v/>
      </c>
      <c r="C55" s="27" t="n"/>
      <c r="D55" s="26">
        <f>IF(LEN(detail!M44)&lt;1,"",detail!M44) &amp; IF(detail!Y44&lt;&gt;0, "*", "")</f>
        <v/>
      </c>
      <c r="E55" s="27" t="n"/>
      <c r="F55" s="11">
        <f>IF(LEN(detail!R44)&lt;1,"",IF(detail!X44 &lt;&gt; "Revenue Recognized", 0, detail!R44))</f>
        <v/>
      </c>
      <c r="G55" s="26">
        <f>IF(LEN(detail!V44)&lt;1,"",detail!V44)</f>
        <v/>
      </c>
    </row>
    <row r="56">
      <c r="B56" s="28">
        <f>IF(LEN(detail!K45)&lt;1,"",detail!K45)</f>
        <v/>
      </c>
      <c r="C56" s="27" t="n"/>
      <c r="D56" s="26">
        <f>IF(LEN(detail!M45)&lt;1,"",detail!M45) &amp; IF(detail!Y45&lt;&gt;0, "*", "")</f>
        <v/>
      </c>
      <c r="E56" s="27" t="n"/>
      <c r="F56" s="11">
        <f>IF(LEN(detail!R45)&lt;1,"",IF(detail!X45 &lt;&gt; "Revenue Recognized", 0, detail!R45))</f>
        <v/>
      </c>
      <c r="G56" s="26">
        <f>IF(LEN(detail!V45)&lt;1,"",detail!V45)</f>
        <v/>
      </c>
    </row>
    <row r="57">
      <c r="B57" s="28">
        <f>IF(LEN(detail!K46)&lt;1,"",detail!K46)</f>
        <v/>
      </c>
      <c r="C57" s="27" t="n"/>
      <c r="D57" s="26">
        <f>IF(LEN(detail!M46)&lt;1,"",detail!M46) &amp; IF(detail!Y46&lt;&gt;0, "*", "")</f>
        <v/>
      </c>
      <c r="E57" s="27" t="n"/>
      <c r="F57" s="11">
        <f>IF(LEN(detail!R46)&lt;1,"",IF(detail!X46 &lt;&gt; "Revenue Recognized", 0, detail!R46))</f>
        <v/>
      </c>
      <c r="G57" s="26">
        <f>IF(LEN(detail!V46)&lt;1,"",detail!V46)</f>
        <v/>
      </c>
    </row>
    <row r="58">
      <c r="B58" s="1" t="inlineStr">
        <is>
          <t>An * denotes a targeted payout</t>
        </is>
      </c>
    </row>
  </sheetData>
  <mergeCells count="85"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E14:F1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57:C57"/>
    <mergeCell ref="B44:C44"/>
    <mergeCell ref="E15:F15"/>
    <mergeCell ref="B34:C34"/>
    <mergeCell ref="B28:C28"/>
    <mergeCell ref="D28:E28"/>
    <mergeCell ref="B9:C9"/>
    <mergeCell ref="D25:E25"/>
    <mergeCell ref="B30:C30"/>
    <mergeCell ref="D55:E55"/>
    <mergeCell ref="D30:E30"/>
    <mergeCell ref="B45:C45"/>
    <mergeCell ref="D54:E54"/>
    <mergeCell ref="B47:C47"/>
    <mergeCell ref="B46:C46"/>
    <mergeCell ref="D46:E46"/>
    <mergeCell ref="D40:E40"/>
    <mergeCell ref="E17:F17"/>
    <mergeCell ref="D21:E21"/>
    <mergeCell ref="B39:C39"/>
    <mergeCell ref="B48:C48"/>
    <mergeCell ref="E10:F10"/>
    <mergeCell ref="D57:E57"/>
    <mergeCell ref="B23:C23"/>
    <mergeCell ref="D32:E32"/>
    <mergeCell ref="D41:E41"/>
    <mergeCell ref="B20:G20"/>
    <mergeCell ref="D43:E43"/>
    <mergeCell ref="E11:F11"/>
    <mergeCell ref="D42:E42"/>
    <mergeCell ref="B36:C36"/>
    <mergeCell ref="B50:C50"/>
    <mergeCell ref="D50:E50"/>
    <mergeCell ref="D44:E44"/>
  </mergeCells>
  <conditionalFormatting sqref="B22:B57 D22:D57 F22:G57">
    <cfRule type="containsErrors" priority="1" dxfId="0">
      <formula>ISERROR(B22)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zcolon@cvrx.com</t>
        </is>
      </c>
      <c r="C2" t="inlineStr">
        <is>
          <t>2026_Q1</t>
        </is>
      </c>
      <c r="D2" t="inlineStr">
        <is>
          <t>CS</t>
        </is>
      </c>
      <c r="E2" t="inlineStr">
        <is>
          <t>ACTIVE</t>
        </is>
      </c>
      <c r="F2" t="n">
        <v>1002</v>
      </c>
      <c r="G2" t="inlineStr">
        <is>
          <t>YTD_PO</t>
        </is>
      </c>
    </row>
    <row r="3">
      <c r="A3" t="inlineStr">
        <is>
          <t>2026_01</t>
        </is>
      </c>
      <c r="B3" t="inlineStr">
        <is>
          <t>zcolon@cvrx.com</t>
        </is>
      </c>
      <c r="C3" t="inlineStr">
        <is>
          <t>2026_Q1</t>
        </is>
      </c>
      <c r="D3" t="inlineStr">
        <is>
          <t>CS</t>
        </is>
      </c>
      <c r="E3" t="inlineStr">
        <is>
          <t>ACTIVE</t>
        </is>
      </c>
      <c r="F3" t="n">
        <v>465154.08</v>
      </c>
      <c r="G3" t="inlineStr">
        <is>
          <t>SALES</t>
        </is>
      </c>
    </row>
    <row r="4">
      <c r="A4" t="inlineStr">
        <is>
          <t>2026_01</t>
        </is>
      </c>
      <c r="B4" t="inlineStr">
        <is>
          <t>zcolon@cvrx.com</t>
        </is>
      </c>
      <c r="C4" t="inlineStr">
        <is>
          <t>2026_Q1</t>
        </is>
      </c>
      <c r="D4" t="inlineStr">
        <is>
          <t>CS</t>
        </is>
      </c>
      <c r="E4" t="inlineStr">
        <is>
          <t>ACTIVE</t>
        </is>
      </c>
      <c r="F4" t="n">
        <v>1002.06</v>
      </c>
      <c r="G4" t="inlineStr">
        <is>
          <t>REGIONAL_PO</t>
        </is>
      </c>
    </row>
    <row r="5">
      <c r="A5" t="inlineStr">
        <is>
          <t>2026_01</t>
        </is>
      </c>
      <c r="B5" t="inlineStr">
        <is>
          <t>zcolon@cvrx.com</t>
        </is>
      </c>
      <c r="C5" t="inlineStr">
        <is>
          <t>2026_Q1</t>
        </is>
      </c>
      <c r="D5" t="inlineStr">
        <is>
          <t>CS</t>
        </is>
      </c>
      <c r="E5" t="inlineStr">
        <is>
          <t>ACTIVE</t>
        </is>
      </c>
      <c r="F5" t="n">
        <v>1002.06</v>
      </c>
      <c r="G5" t="inlineStr">
        <is>
          <t>PO_AMT</t>
        </is>
      </c>
    </row>
    <row r="6">
      <c r="A6" t="inlineStr">
        <is>
          <t>2026_01</t>
        </is>
      </c>
      <c r="B6" t="inlineStr">
        <is>
          <t>zcolon@cvrx.com</t>
        </is>
      </c>
      <c r="C6" t="inlineStr">
        <is>
          <t>2026_Q1</t>
        </is>
      </c>
      <c r="D6" t="inlineStr">
        <is>
          <t>CS</t>
        </is>
      </c>
      <c r="E6" t="inlineStr">
        <is>
          <t>ACTIVE</t>
        </is>
      </c>
      <c r="F6" t="n">
        <v>465154.08</v>
      </c>
      <c r="G6" t="inlineStr">
        <is>
          <t>YTD_SALES</t>
        </is>
      </c>
    </row>
    <row r="7">
      <c r="A7" t="inlineStr">
        <is>
          <t>2026_01</t>
        </is>
      </c>
      <c r="B7" t="inlineStr">
        <is>
          <t>zcolon@cvrx.com</t>
        </is>
      </c>
      <c r="C7" t="inlineStr">
        <is>
          <t>2026_Q1</t>
        </is>
      </c>
      <c r="D7" t="inlineStr">
        <is>
          <t>CS</t>
        </is>
      </c>
      <c r="E7" t="inlineStr">
        <is>
          <t>ACTIVE</t>
        </is>
      </c>
      <c r="F7" t="n">
        <v>0.04</v>
      </c>
      <c r="G7" t="inlineStr">
        <is>
          <t>%_FY_PLAN</t>
        </is>
      </c>
    </row>
    <row r="8">
      <c r="A8" t="inlineStr">
        <is>
          <t>2026_01</t>
        </is>
      </c>
      <c r="B8" t="inlineStr">
        <is>
          <t>zcolon@cvrx.com</t>
        </is>
      </c>
      <c r="C8" t="inlineStr">
        <is>
          <t>2026_Q1</t>
        </is>
      </c>
      <c r="D8" t="inlineStr">
        <is>
          <t>CS</t>
        </is>
      </c>
      <c r="E8" t="inlineStr">
        <is>
          <t>ACTIVE</t>
        </is>
      </c>
      <c r="F8" t="n">
        <v>1002.06</v>
      </c>
      <c r="G8" t="inlineStr">
        <is>
          <t>YTD_REGIONAL_PO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1.5703125" bestFit="1" customWidth="1" min="1" max="1"/>
    <col width="27" bestFit="1" customWidth="1" min="2" max="2"/>
  </cols>
  <sheetData>
    <row r="1">
      <c r="A1" t="inlineStr">
        <is>
          <t>Name:</t>
        </is>
      </c>
      <c r="B1" t="inlineStr">
        <is>
          <t>Zilma Colon</t>
        </is>
      </c>
    </row>
    <row r="2">
      <c r="A2" t="inlineStr">
        <is>
          <t>Email:</t>
        </is>
      </c>
      <c r="B2" t="inlineStr">
        <is>
          <t>zcolon@cvrx.com</t>
        </is>
      </c>
    </row>
    <row r="3">
      <c r="A3" t="inlineStr">
        <is>
          <t>RM:</t>
        </is>
      </c>
      <c r="B3" t="inlineStr">
        <is>
          <t>jviduna@cvrx.com</t>
        </is>
      </c>
    </row>
    <row r="4">
      <c r="A4" t="inlineStr">
        <is>
          <t>Territory:</t>
        </is>
      </c>
      <c r="B4" t="inlineStr">
        <is>
          <t>FLORIDA (COLON)</t>
        </is>
      </c>
    </row>
    <row r="5">
      <c r="A5" t="inlineStr">
        <is>
          <t>Role:</t>
        </is>
      </c>
      <c r="B5" t="inlineStr">
        <is>
          <t>Clinical Sales Representative</t>
        </is>
      </c>
    </row>
    <row r="6">
      <c r="A6" t="inlineStr">
        <is>
          <t>Base Bonus:</t>
        </is>
      </c>
      <c r="B6" t="n">
        <v>23340</v>
      </c>
    </row>
    <row r="7">
      <c r="A7" t="inlineStr">
        <is>
          <t>Month:</t>
        </is>
      </c>
      <c r="B7" t="inlineStr">
        <is>
          <t>January</t>
        </is>
      </c>
    </row>
    <row r="8">
      <c r="A8" t="inlineStr">
        <is>
          <t>Quota:</t>
        </is>
      </c>
      <c r="B8" t="n">
        <v>10834326.8532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SALES_CREDIT_CS_EMAIL</t>
        </is>
      </c>
      <c r="B1" t="inlineStr">
        <is>
          <t>NAME_REP</t>
        </is>
      </c>
      <c r="C1" t="inlineStr">
        <is>
          <t>REGION_NM</t>
        </is>
      </c>
      <c r="D1" t="inlineStr">
        <is>
          <t>REGION_ID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CLOSE_YYYYQQ</t>
        </is>
      </c>
      <c r="H1" t="inlineStr">
        <is>
          <t>IMPLANTED_DT</t>
        </is>
      </c>
      <c r="I1" t="inlineStr">
        <is>
          <t>IMPLANTED_YYYYMM</t>
        </is>
      </c>
      <c r="J1" t="inlineStr">
        <is>
          <t>IMPLANTED_YYYYQQ</t>
        </is>
      </c>
      <c r="K1" t="inlineStr">
        <is>
          <t>ACCOUNT_INDICATION__C</t>
        </is>
      </c>
      <c r="L1" t="inlineStr">
        <is>
          <t>ACT_ID</t>
        </is>
      </c>
      <c r="M1" t="inlineStr">
        <is>
          <t>OPP_NAME</t>
        </is>
      </c>
      <c r="N1" t="inlineStr">
        <is>
          <t>OPP_ID</t>
        </is>
      </c>
      <c r="O1" t="inlineStr">
        <is>
          <t>PHYSICIAN</t>
        </is>
      </c>
      <c r="P1" t="inlineStr">
        <is>
          <t>PHYSICIAN_ID</t>
        </is>
      </c>
      <c r="Q1" t="inlineStr">
        <is>
          <t>SALES</t>
        </is>
      </c>
      <c r="R1" t="inlineStr">
        <is>
          <t>SALES_COMMISSIONABLE</t>
        </is>
      </c>
      <c r="S1" t="inlineStr">
        <is>
          <t>YTD_SALES_COMMISSIONABLE</t>
        </is>
      </c>
      <c r="T1" t="inlineStr">
        <is>
          <t>REG_ALIGN_ELIGIBLE?</t>
        </is>
      </c>
      <c r="U1" t="inlineStr">
        <is>
          <t>IMPLANT_UNITS</t>
        </is>
      </c>
      <c r="V1" t="inlineStr">
        <is>
          <t>REVENUE_UNITS</t>
        </is>
      </c>
      <c r="W1" t="inlineStr">
        <is>
          <t>REASON_FOR_IMPLANT__C</t>
        </is>
      </c>
      <c r="X1" t="inlineStr">
        <is>
          <t>STAGENAME</t>
        </is>
      </c>
      <c r="Y1" t="inlineStr">
        <is>
          <t>TGT_PO</t>
        </is>
      </c>
      <c r="Z1" t="inlineStr">
        <is>
          <t>PO_%</t>
        </is>
      </c>
      <c r="AA1" t="inlineStr">
        <is>
          <t>TGT_TYPE</t>
        </is>
      </c>
      <c r="AB1" t="inlineStr">
        <is>
          <t>PO_TYPE</t>
        </is>
      </c>
      <c r="AC1" t="inlineStr">
        <is>
          <t>TGT_PO_YYYYMM</t>
        </is>
      </c>
      <c r="AD1" t="inlineStr">
        <is>
          <t>RN</t>
        </is>
      </c>
    </row>
    <row r="2">
      <c r="A2" t="inlineStr">
        <is>
          <t>zcolon@cvrx.com</t>
        </is>
      </c>
      <c r="B2" t="inlineStr">
        <is>
          <t>Zilma Colon</t>
        </is>
      </c>
      <c r="C2" t="inlineStr">
        <is>
          <t>FLORIDA (VIDUNA)</t>
        </is>
      </c>
      <c r="D2" t="inlineStr">
        <is>
          <t>RE_06</t>
        </is>
      </c>
      <c r="E2" s="46" t="n">
        <v>46027</v>
      </c>
      <c r="F2" t="inlineStr">
        <is>
          <t>2026_01</t>
        </is>
      </c>
      <c r="G2" t="inlineStr">
        <is>
          <t>2026_Q1</t>
        </is>
      </c>
      <c r="I2" t="inlineStr">
        <is>
          <t>2026_01</t>
        </is>
      </c>
      <c r="J2" t="inlineStr">
        <is>
          <t>2026_Q1</t>
        </is>
      </c>
      <c r="K2" t="inlineStr">
        <is>
          <t>Morton Plant Hospital</t>
        </is>
      </c>
      <c r="L2" t="inlineStr">
        <is>
          <t>0014u00001pyTzAAAU</t>
        </is>
      </c>
      <c r="M2" t="inlineStr">
        <is>
          <t>CRX842 029235</t>
        </is>
      </c>
      <c r="N2" t="inlineStr">
        <is>
          <t>006UY00000UuflaYAB</t>
        </is>
      </c>
      <c r="Q2" t="n">
        <v>32000</v>
      </c>
      <c r="R2" t="n">
        <v>32000</v>
      </c>
      <c r="S2" t="n">
        <v>32000</v>
      </c>
      <c r="T2" t="n">
        <v>1</v>
      </c>
      <c r="U2" t="n">
        <v>0</v>
      </c>
      <c r="V2" t="n">
        <v>1</v>
      </c>
      <c r="W2" t="inlineStr">
        <is>
          <t>De novo</t>
        </is>
      </c>
      <c r="X2" t="inlineStr">
        <is>
          <t>Revenue Recognized</t>
        </is>
      </c>
      <c r="AD2" t="n">
        <v>0</v>
      </c>
    </row>
    <row r="3">
      <c r="A3" t="inlineStr">
        <is>
          <t>zcolon@cvrx.com</t>
        </is>
      </c>
      <c r="B3" t="inlineStr">
        <is>
          <t>Zilma Colon</t>
        </is>
      </c>
      <c r="C3" t="inlineStr">
        <is>
          <t>FLORIDA (VIDUNA)</t>
        </is>
      </c>
      <c r="D3" t="inlineStr">
        <is>
          <t>RE_06</t>
        </is>
      </c>
      <c r="E3" s="46" t="n">
        <v>46028</v>
      </c>
      <c r="F3" t="inlineStr">
        <is>
          <t>2026_01</t>
        </is>
      </c>
      <c r="G3" t="inlineStr">
        <is>
          <t>2026_Q1</t>
        </is>
      </c>
      <c r="H3" s="47" t="n">
        <v>46021</v>
      </c>
      <c r="I3" t="inlineStr">
        <is>
          <t>2025_12</t>
        </is>
      </c>
      <c r="J3" t="inlineStr">
        <is>
          <t>2025_Q4</t>
        </is>
      </c>
      <c r="K3" t="inlineStr">
        <is>
          <t>Adventhealth Tampa</t>
        </is>
      </c>
      <c r="L3" t="inlineStr">
        <is>
          <t>0014u00001pyTzEAAU</t>
        </is>
      </c>
      <c r="M3" t="inlineStr">
        <is>
          <t>CRX846 029104</t>
        </is>
      </c>
      <c r="N3" t="inlineStr">
        <is>
          <t>006UY00000UTwP7YAL</t>
        </is>
      </c>
      <c r="O3" t="inlineStr">
        <is>
          <t>Mohammadreza Tabesh</t>
        </is>
      </c>
      <c r="P3" t="inlineStr">
        <is>
          <t>0034u00002XvrkxAAB</t>
        </is>
      </c>
      <c r="Q3" t="n">
        <v>27776.1</v>
      </c>
      <c r="R3" t="n">
        <v>27776.1</v>
      </c>
      <c r="S3" t="n">
        <v>59776.1</v>
      </c>
      <c r="T3" t="n">
        <v>1</v>
      </c>
      <c r="U3" t="n">
        <v>1</v>
      </c>
      <c r="V3" t="n">
        <v>1</v>
      </c>
      <c r="W3" t="inlineStr">
        <is>
          <t>De novo</t>
        </is>
      </c>
      <c r="X3" t="inlineStr">
        <is>
          <t>Revenue Recognized</t>
        </is>
      </c>
      <c r="AD3" t="n">
        <v>0</v>
      </c>
    </row>
    <row r="4">
      <c r="A4" t="inlineStr">
        <is>
          <t>zcolon@cvrx.com</t>
        </is>
      </c>
      <c r="B4" t="inlineStr">
        <is>
          <t>Zilma Colon</t>
        </is>
      </c>
      <c r="C4" t="inlineStr">
        <is>
          <t>FLORIDA (VIDUNA)</t>
        </is>
      </c>
      <c r="D4" t="inlineStr">
        <is>
          <t>RE_06</t>
        </is>
      </c>
      <c r="E4" s="46" t="n">
        <v>46029</v>
      </c>
      <c r="F4" t="inlineStr">
        <is>
          <t>2026_01</t>
        </is>
      </c>
      <c r="G4" t="inlineStr">
        <is>
          <t>2026_Q1</t>
        </is>
      </c>
      <c r="I4" t="inlineStr">
        <is>
          <t>2026_01</t>
        </is>
      </c>
      <c r="J4" t="inlineStr">
        <is>
          <t>2026_Q1</t>
        </is>
      </c>
      <c r="K4" t="inlineStr">
        <is>
          <t>Sarasota Memorial Health Care System</t>
        </is>
      </c>
      <c r="L4" t="inlineStr">
        <is>
          <t>0014u00001nCHqOAAW</t>
        </is>
      </c>
      <c r="M4" t="inlineStr">
        <is>
          <t>SMH 027377</t>
        </is>
      </c>
      <c r="N4" t="inlineStr">
        <is>
          <t>006UY00000PjaNZYAZ</t>
        </is>
      </c>
      <c r="Q4" t="n">
        <v>84000</v>
      </c>
      <c r="R4" t="n">
        <v>84000</v>
      </c>
      <c r="S4" t="n">
        <v>143776.1</v>
      </c>
      <c r="T4" t="n">
        <v>1</v>
      </c>
      <c r="U4" t="n">
        <v>0</v>
      </c>
      <c r="V4" t="n">
        <v>3</v>
      </c>
      <c r="W4" t="inlineStr">
        <is>
          <t>De novo</t>
        </is>
      </c>
      <c r="X4" t="inlineStr">
        <is>
          <t>Revenue Recognized</t>
        </is>
      </c>
      <c r="AD4" t="n">
        <v>0</v>
      </c>
    </row>
    <row r="5">
      <c r="A5" t="inlineStr">
        <is>
          <t>zcolon@cvrx.com</t>
        </is>
      </c>
      <c r="B5" t="inlineStr">
        <is>
          <t>Zilma Colon</t>
        </is>
      </c>
      <c r="C5" t="inlineStr">
        <is>
          <t>FLORIDA (VIDUNA)</t>
        </is>
      </c>
      <c r="D5" t="inlineStr">
        <is>
          <t>RE_06</t>
        </is>
      </c>
      <c r="E5" s="46" t="n">
        <v>46031</v>
      </c>
      <c r="F5" t="inlineStr">
        <is>
          <t>2026_01</t>
        </is>
      </c>
      <c r="G5" t="inlineStr">
        <is>
          <t>2026_Q1</t>
        </is>
      </c>
      <c r="H5" s="47" t="n">
        <v>46024</v>
      </c>
      <c r="I5" t="inlineStr">
        <is>
          <t>2026_01</t>
        </is>
      </c>
      <c r="J5" t="inlineStr">
        <is>
          <t>2026_Q1</t>
        </is>
      </c>
      <c r="K5" t="inlineStr">
        <is>
          <t>Adventhealth New Smyrna Beach</t>
        </is>
      </c>
      <c r="L5" t="inlineStr">
        <is>
          <t>0014u00001v5DwKAAU</t>
        </is>
      </c>
      <c r="M5" t="inlineStr">
        <is>
          <t>AHSYM 029225</t>
        </is>
      </c>
      <c r="N5" t="inlineStr">
        <is>
          <t>006UY00000Uu0FNYAZ</t>
        </is>
      </c>
      <c r="O5" t="inlineStr">
        <is>
          <t>Surya Rao</t>
        </is>
      </c>
      <c r="P5" t="inlineStr">
        <is>
          <t>0034u00002ZgIOoAAN</t>
        </is>
      </c>
      <c r="Q5" t="n">
        <v>28750.7</v>
      </c>
      <c r="R5" t="n">
        <v>28750.7</v>
      </c>
      <c r="S5" t="n">
        <v>172526.8</v>
      </c>
      <c r="T5" t="n">
        <v>1</v>
      </c>
      <c r="U5" t="n">
        <v>1</v>
      </c>
      <c r="V5" t="n">
        <v>1</v>
      </c>
      <c r="W5" t="inlineStr">
        <is>
          <t>De novo</t>
        </is>
      </c>
      <c r="X5" t="inlineStr">
        <is>
          <t>Revenue Recognized</t>
        </is>
      </c>
      <c r="AD5" t="n">
        <v>0</v>
      </c>
    </row>
    <row r="6">
      <c r="A6" t="inlineStr">
        <is>
          <t>zcolon@cvrx.com</t>
        </is>
      </c>
      <c r="B6" t="inlineStr">
        <is>
          <t>Zilma Colon</t>
        </is>
      </c>
      <c r="C6" t="inlineStr">
        <is>
          <t>FLORIDA (VIDUNA)</t>
        </is>
      </c>
      <c r="D6" t="inlineStr">
        <is>
          <t>RE_06</t>
        </is>
      </c>
      <c r="E6" s="46" t="n">
        <v>46037</v>
      </c>
      <c r="F6" t="inlineStr">
        <is>
          <t>2026_01</t>
        </is>
      </c>
      <c r="G6" t="inlineStr">
        <is>
          <t>2026_Q1</t>
        </is>
      </c>
      <c r="I6" t="inlineStr">
        <is>
          <t>2026_01</t>
        </is>
      </c>
      <c r="J6" t="inlineStr">
        <is>
          <t>2026_Q1</t>
        </is>
      </c>
      <c r="K6" t="inlineStr">
        <is>
          <t>Tampa General Hospital</t>
        </is>
      </c>
      <c r="L6" t="inlineStr">
        <is>
          <t>0017000001PgZDEAA3</t>
        </is>
      </c>
      <c r="M6" t="inlineStr">
        <is>
          <t>TPA01 028974</t>
        </is>
      </c>
      <c r="N6" t="inlineStr">
        <is>
          <t>006UY00000U9xIvYAJ</t>
        </is>
      </c>
      <c r="Q6" t="n">
        <v>28000</v>
      </c>
      <c r="R6" t="n">
        <v>28000</v>
      </c>
      <c r="S6" t="n">
        <v>200526.8</v>
      </c>
      <c r="T6" t="n">
        <v>1</v>
      </c>
      <c r="U6" t="n">
        <v>0</v>
      </c>
      <c r="V6" t="n">
        <v>1</v>
      </c>
      <c r="W6" t="inlineStr">
        <is>
          <t>De novo</t>
        </is>
      </c>
      <c r="X6" t="inlineStr">
        <is>
          <t>Revenue Recognized</t>
        </is>
      </c>
      <c r="AD6" t="n">
        <v>0</v>
      </c>
    </row>
    <row r="7">
      <c r="A7" t="inlineStr">
        <is>
          <t>zcolon@cvrx.com</t>
        </is>
      </c>
      <c r="B7" t="inlineStr">
        <is>
          <t>Zilma Colon</t>
        </is>
      </c>
      <c r="C7" t="inlineStr">
        <is>
          <t>FLORIDA (VIDUNA)</t>
        </is>
      </c>
      <c r="D7" t="inlineStr">
        <is>
          <t>RE_06</t>
        </is>
      </c>
      <c r="E7" s="46" t="n">
        <v>46038</v>
      </c>
      <c r="F7" t="inlineStr">
        <is>
          <t>2026_01</t>
        </is>
      </c>
      <c r="G7" t="inlineStr">
        <is>
          <t>2026_Q1</t>
        </is>
      </c>
      <c r="H7" s="47" t="n">
        <v>46038</v>
      </c>
      <c r="I7" t="inlineStr">
        <is>
          <t>2026_01</t>
        </is>
      </c>
      <c r="J7" t="inlineStr">
        <is>
          <t>2026_Q1</t>
        </is>
      </c>
      <c r="K7" t="inlineStr">
        <is>
          <t>Uf Health Jacksonville</t>
        </is>
      </c>
      <c r="L7" t="inlineStr">
        <is>
          <t>0010g00001jmQ7bAAE</t>
        </is>
      </c>
      <c r="M7" t="inlineStr">
        <is>
          <t>UFJAX 029098</t>
        </is>
      </c>
      <c r="N7" t="inlineStr">
        <is>
          <t>006UY00000UT9rUYAT</t>
        </is>
      </c>
      <c r="O7" t="inlineStr">
        <is>
          <t>Sharon Natanzon</t>
        </is>
      </c>
      <c r="P7" t="inlineStr">
        <is>
          <t>003UY00000VZIQ2YAP</t>
        </is>
      </c>
      <c r="Q7" t="n">
        <v>31500</v>
      </c>
      <c r="R7" t="n">
        <v>31500</v>
      </c>
      <c r="S7" t="n">
        <v>292277.5</v>
      </c>
      <c r="T7" t="n">
        <v>1</v>
      </c>
      <c r="U7" t="n">
        <v>1</v>
      </c>
      <c r="V7" t="n">
        <v>1</v>
      </c>
      <c r="W7" t="inlineStr">
        <is>
          <t>De novo</t>
        </is>
      </c>
      <c r="X7" t="inlineStr">
        <is>
          <t>Revenue Recognized</t>
        </is>
      </c>
      <c r="AD7" t="n">
        <v>0</v>
      </c>
    </row>
    <row r="8">
      <c r="A8" t="inlineStr">
        <is>
          <t>zcolon@cvrx.com</t>
        </is>
      </c>
      <c r="B8" t="inlineStr">
        <is>
          <t>Zilma Colon</t>
        </is>
      </c>
      <c r="C8" t="inlineStr">
        <is>
          <t>FLORIDA (VIDUNA)</t>
        </is>
      </c>
      <c r="D8" t="inlineStr">
        <is>
          <t>RE_06</t>
        </is>
      </c>
      <c r="E8" s="46" t="n">
        <v>46038</v>
      </c>
      <c r="F8" t="inlineStr">
        <is>
          <t>2026_01</t>
        </is>
      </c>
      <c r="G8" t="inlineStr">
        <is>
          <t>2026_Q1</t>
        </is>
      </c>
      <c r="H8" s="47" t="n">
        <v>46030</v>
      </c>
      <c r="I8" t="inlineStr">
        <is>
          <t>2026_01</t>
        </is>
      </c>
      <c r="J8" t="inlineStr">
        <is>
          <t>2026_Q1</t>
        </is>
      </c>
      <c r="K8" t="inlineStr">
        <is>
          <t>Adventhealth Zephyrhills</t>
        </is>
      </c>
      <c r="L8" t="inlineStr">
        <is>
          <t>0014u00001pyTz0AAE</t>
        </is>
      </c>
      <c r="M8" t="inlineStr">
        <is>
          <t>CRX832 024831</t>
        </is>
      </c>
      <c r="N8" t="inlineStr">
        <is>
          <t>006UY00000KUzKIYA1</t>
        </is>
      </c>
      <c r="O8" t="inlineStr">
        <is>
          <t>Ramanath Rao</t>
        </is>
      </c>
      <c r="P8" t="inlineStr">
        <is>
          <t>0034u00002Xvq3iAAB</t>
        </is>
      </c>
      <c r="Q8" t="n">
        <v>28750.7</v>
      </c>
      <c r="R8" t="n">
        <v>28750.7</v>
      </c>
      <c r="S8" t="n">
        <v>229277.5</v>
      </c>
      <c r="T8" t="n">
        <v>1</v>
      </c>
      <c r="U8" t="n">
        <v>1</v>
      </c>
      <c r="V8" t="n">
        <v>1</v>
      </c>
      <c r="W8" t="inlineStr">
        <is>
          <t>De novo</t>
        </is>
      </c>
      <c r="X8" t="inlineStr">
        <is>
          <t>Revenue Recognized</t>
        </is>
      </c>
      <c r="AD8" t="n">
        <v>0</v>
      </c>
    </row>
    <row r="9">
      <c r="A9" t="inlineStr">
        <is>
          <t>zcolon@cvrx.com</t>
        </is>
      </c>
      <c r="B9" t="inlineStr">
        <is>
          <t>Zilma Colon</t>
        </is>
      </c>
      <c r="C9" t="inlineStr">
        <is>
          <t>FLORIDA (VIDUNA)</t>
        </is>
      </c>
      <c r="D9" t="inlineStr">
        <is>
          <t>RE_06</t>
        </is>
      </c>
      <c r="E9" s="46" t="n">
        <v>46038</v>
      </c>
      <c r="F9" t="inlineStr">
        <is>
          <t>2026_01</t>
        </is>
      </c>
      <c r="G9" t="inlineStr">
        <is>
          <t>2026_Q1</t>
        </is>
      </c>
      <c r="I9" t="inlineStr">
        <is>
          <t>2026_01</t>
        </is>
      </c>
      <c r="J9" t="inlineStr">
        <is>
          <t>2026_Q1</t>
        </is>
      </c>
      <c r="K9" t="inlineStr">
        <is>
          <t>Uf Health Jacksonville</t>
        </is>
      </c>
      <c r="L9" t="inlineStr">
        <is>
          <t>0010g00001jmQ7bAAE</t>
        </is>
      </c>
      <c r="M9" t="inlineStr">
        <is>
          <t>UFJAX 029372</t>
        </is>
      </c>
      <c r="N9" t="inlineStr">
        <is>
          <t>006UY00000VIlQ3YAL</t>
        </is>
      </c>
      <c r="Q9" t="n">
        <v>31500</v>
      </c>
      <c r="R9" t="n">
        <v>31500</v>
      </c>
      <c r="S9" t="n">
        <v>323777.5</v>
      </c>
      <c r="T9" t="n">
        <v>1</v>
      </c>
      <c r="U9" t="n">
        <v>0</v>
      </c>
      <c r="V9" t="n">
        <v>1</v>
      </c>
      <c r="W9" t="inlineStr">
        <is>
          <t>De novo</t>
        </is>
      </c>
      <c r="X9" t="inlineStr">
        <is>
          <t>Revenue Recognized</t>
        </is>
      </c>
      <c r="AD9" t="n">
        <v>0</v>
      </c>
    </row>
    <row r="10">
      <c r="A10" t="inlineStr">
        <is>
          <t>zcolon@cvrx.com</t>
        </is>
      </c>
      <c r="B10" t="inlineStr">
        <is>
          <t>Zilma Colon</t>
        </is>
      </c>
      <c r="C10" t="inlineStr">
        <is>
          <t>FLORIDA (VIDUNA)</t>
        </is>
      </c>
      <c r="D10" t="inlineStr">
        <is>
          <t>RE_06</t>
        </is>
      </c>
      <c r="E10" s="46" t="n">
        <v>46038</v>
      </c>
      <c r="F10" t="inlineStr">
        <is>
          <t>2026_01</t>
        </is>
      </c>
      <c r="G10" t="inlineStr">
        <is>
          <t>2026_Q1</t>
        </is>
      </c>
      <c r="H10" s="47" t="n">
        <v>46038</v>
      </c>
      <c r="I10" t="inlineStr">
        <is>
          <t>2026_01</t>
        </is>
      </c>
      <c r="J10" t="inlineStr">
        <is>
          <t>2026_Q1</t>
        </is>
      </c>
      <c r="K10" t="inlineStr">
        <is>
          <t>Uf Health Jacksonville</t>
        </is>
      </c>
      <c r="L10" t="inlineStr">
        <is>
          <t>0010g00001jmQ7bAAE</t>
        </is>
      </c>
      <c r="M10" t="inlineStr">
        <is>
          <t>UFJAX 026212</t>
        </is>
      </c>
      <c r="N10" t="inlineStr">
        <is>
          <t>006UY00000N6dcXYAR</t>
        </is>
      </c>
      <c r="O10" t="inlineStr">
        <is>
          <t>Brenda Murphy</t>
        </is>
      </c>
      <c r="P10" t="inlineStr">
        <is>
          <t>003UY000005K52HYAS</t>
        </is>
      </c>
      <c r="Q10" t="n">
        <v>31500</v>
      </c>
      <c r="R10" t="n">
        <v>31500</v>
      </c>
      <c r="S10" t="n">
        <v>260777.5</v>
      </c>
      <c r="T10" t="n">
        <v>1</v>
      </c>
      <c r="U10" t="n">
        <v>1</v>
      </c>
      <c r="V10" t="n">
        <v>1</v>
      </c>
      <c r="W10" t="inlineStr">
        <is>
          <t>De novo</t>
        </is>
      </c>
      <c r="X10" t="inlineStr">
        <is>
          <t>Revenue Recognized</t>
        </is>
      </c>
      <c r="AD10" t="n">
        <v>0</v>
      </c>
    </row>
    <row r="11">
      <c r="A11" t="inlineStr">
        <is>
          <t>zcolon@cvrx.com</t>
        </is>
      </c>
      <c r="B11" t="inlineStr">
        <is>
          <t>Zilma Colon</t>
        </is>
      </c>
      <c r="C11" t="inlineStr">
        <is>
          <t>FLORIDA (VIDUNA)</t>
        </is>
      </c>
      <c r="D11" t="inlineStr">
        <is>
          <t>RE_06</t>
        </is>
      </c>
      <c r="E11" s="46" t="n">
        <v>46041</v>
      </c>
      <c r="F11" t="inlineStr">
        <is>
          <t>2026_01</t>
        </is>
      </c>
      <c r="G11" t="inlineStr">
        <is>
          <t>2026_Q1</t>
        </is>
      </c>
      <c r="H11" s="47" t="n">
        <v>46041</v>
      </c>
      <c r="I11" t="inlineStr">
        <is>
          <t>2026_01</t>
        </is>
      </c>
      <c r="J11" t="inlineStr">
        <is>
          <t>2026_Q1</t>
        </is>
      </c>
      <c r="K11" t="inlineStr">
        <is>
          <t>Lawnwood Regional Medical Center &amp; Heart Institute</t>
        </is>
      </c>
      <c r="L11" t="inlineStr">
        <is>
          <t>0014u00001s9EqJAAU</t>
        </is>
      </c>
      <c r="M11" t="inlineStr">
        <is>
          <t>CRX323 025923</t>
        </is>
      </c>
      <c r="N11" t="inlineStr">
        <is>
          <t>006UY00000MYx0zYAD</t>
        </is>
      </c>
      <c r="O11" t="inlineStr">
        <is>
          <t>Rizwan Alimohammad</t>
        </is>
      </c>
      <c r="P11" t="inlineStr">
        <is>
          <t>0034u00002ZganwAAB</t>
        </is>
      </c>
      <c r="Q11" t="n">
        <v>28000</v>
      </c>
      <c r="R11" t="n">
        <v>28668.5393258427</v>
      </c>
      <c r="S11" t="n">
        <v>379734.8393258427</v>
      </c>
      <c r="T11" t="n">
        <v>1</v>
      </c>
      <c r="U11" t="n">
        <v>1</v>
      </c>
      <c r="V11" t="n">
        <v>1</v>
      </c>
      <c r="W11" t="inlineStr">
        <is>
          <t>De novo</t>
        </is>
      </c>
      <c r="X11" t="inlineStr">
        <is>
          <t>Revenue Recognized</t>
        </is>
      </c>
      <c r="AD11" t="n">
        <v>0</v>
      </c>
    </row>
    <row r="12">
      <c r="A12" t="inlineStr">
        <is>
          <t>zcolon@cvrx.com</t>
        </is>
      </c>
      <c r="B12" t="inlineStr">
        <is>
          <t>Zilma Colon</t>
        </is>
      </c>
      <c r="C12" t="inlineStr">
        <is>
          <t>FLORIDA (VIDUNA)</t>
        </is>
      </c>
      <c r="D12" t="inlineStr">
        <is>
          <t>RE_06</t>
        </is>
      </c>
      <c r="E12" s="46" t="n">
        <v>46041</v>
      </c>
      <c r="F12" t="inlineStr">
        <is>
          <t>2026_01</t>
        </is>
      </c>
      <c r="G12" t="inlineStr">
        <is>
          <t>2026_Q1</t>
        </is>
      </c>
      <c r="H12" s="47" t="n">
        <v>46035</v>
      </c>
      <c r="I12" t="inlineStr">
        <is>
          <t>2026_01</t>
        </is>
      </c>
      <c r="J12" t="inlineStr">
        <is>
          <t>2026_Q1</t>
        </is>
      </c>
      <c r="K12" t="inlineStr">
        <is>
          <t>Adventhealth Sebring</t>
        </is>
      </c>
      <c r="L12" t="inlineStr">
        <is>
          <t>0014u00001mQQ2UAAW</t>
        </is>
      </c>
      <c r="M12" t="inlineStr">
        <is>
          <t>AHSebring 028168</t>
        </is>
      </c>
      <c r="N12" t="inlineStr">
        <is>
          <t>006UY00000RvJeIYAV</t>
        </is>
      </c>
      <c r="O12" t="inlineStr">
        <is>
          <t>Deepti Bhandare</t>
        </is>
      </c>
      <c r="P12" t="inlineStr">
        <is>
          <t>0034u00002ZgAkUAAV</t>
        </is>
      </c>
      <c r="Q12" t="n">
        <v>27288.8</v>
      </c>
      <c r="R12" t="n">
        <v>27288.8</v>
      </c>
      <c r="S12" t="n">
        <v>351066.3</v>
      </c>
      <c r="T12" t="n">
        <v>1</v>
      </c>
      <c r="U12" t="n">
        <v>1</v>
      </c>
      <c r="V12" t="n">
        <v>1</v>
      </c>
      <c r="W12" t="inlineStr">
        <is>
          <t>Replacement</t>
        </is>
      </c>
      <c r="X12" t="inlineStr">
        <is>
          <t>Revenue Recognized</t>
        </is>
      </c>
      <c r="AD12" t="n">
        <v>0</v>
      </c>
    </row>
    <row r="13">
      <c r="A13" t="inlineStr">
        <is>
          <t>zcolon@cvrx.com</t>
        </is>
      </c>
      <c r="B13" t="inlineStr">
        <is>
          <t>Zilma Colon</t>
        </is>
      </c>
      <c r="C13" t="inlineStr">
        <is>
          <t>FLORIDA (VIDUNA)</t>
        </is>
      </c>
      <c r="D13" t="inlineStr">
        <is>
          <t>RE_06</t>
        </is>
      </c>
      <c r="E13" s="46" t="n">
        <v>46045</v>
      </c>
      <c r="F13" t="inlineStr">
        <is>
          <t>2026_01</t>
        </is>
      </c>
      <c r="G13" t="inlineStr">
        <is>
          <t>2026_Q1</t>
        </is>
      </c>
      <c r="I13" t="inlineStr">
        <is>
          <t>2026_01</t>
        </is>
      </c>
      <c r="J13" t="inlineStr">
        <is>
          <t>2026_Q1</t>
        </is>
      </c>
      <c r="K13" t="inlineStr">
        <is>
          <t>Tampa General Hospital</t>
        </is>
      </c>
      <c r="L13" t="inlineStr">
        <is>
          <t>0017000001PgZDEAA3</t>
        </is>
      </c>
      <c r="M13" t="inlineStr">
        <is>
          <t>TPA01 029520</t>
        </is>
      </c>
      <c r="N13" t="inlineStr">
        <is>
          <t>006UY00000Vc25NYAR</t>
        </is>
      </c>
      <c r="Q13" t="n">
        <v>28000</v>
      </c>
      <c r="R13" t="n">
        <v>28000</v>
      </c>
      <c r="S13" t="n">
        <v>407734.8393258427</v>
      </c>
      <c r="T13" t="n">
        <v>1</v>
      </c>
      <c r="U13" t="n">
        <v>0</v>
      </c>
      <c r="V13" t="n">
        <v>1</v>
      </c>
      <c r="W13" t="inlineStr">
        <is>
          <t>De novo</t>
        </is>
      </c>
      <c r="X13" t="inlineStr">
        <is>
          <t>Revenue Recognized</t>
        </is>
      </c>
      <c r="AD13" t="n">
        <v>0</v>
      </c>
    </row>
    <row r="14">
      <c r="A14" t="inlineStr">
        <is>
          <t>zcolon@cvrx.com</t>
        </is>
      </c>
      <c r="B14" t="inlineStr">
        <is>
          <t>Zilma Colon</t>
        </is>
      </c>
      <c r="C14" t="inlineStr">
        <is>
          <t>FLORIDA (VIDUNA)</t>
        </is>
      </c>
      <c r="D14" t="inlineStr">
        <is>
          <t>RE_06</t>
        </is>
      </c>
      <c r="E14" s="46" t="n">
        <v>46051</v>
      </c>
      <c r="F14" t="inlineStr">
        <is>
          <t>2026_01</t>
        </is>
      </c>
      <c r="G14" t="inlineStr">
        <is>
          <t>2026_Q1</t>
        </is>
      </c>
      <c r="I14" t="inlineStr">
        <is>
          <t>2026_01</t>
        </is>
      </c>
      <c r="J14" t="inlineStr">
        <is>
          <t>2026_Q1</t>
        </is>
      </c>
      <c r="K14" t="inlineStr">
        <is>
          <t>Adventhealth Orlando</t>
        </is>
      </c>
      <c r="L14" t="inlineStr">
        <is>
          <t>0017000001LsiQyAAJ</t>
        </is>
      </c>
      <c r="M14" t="inlineStr">
        <is>
          <t>AHOrl 029650</t>
        </is>
      </c>
      <c r="N14" t="inlineStr">
        <is>
          <t>006UY00000VskIXYAZ</t>
        </is>
      </c>
      <c r="Q14" t="n">
        <v>28750.7</v>
      </c>
      <c r="R14" t="n">
        <v>28750.7</v>
      </c>
      <c r="S14" t="n">
        <v>436485.5393258427</v>
      </c>
      <c r="T14" t="n">
        <v>1</v>
      </c>
      <c r="U14" t="n">
        <v>0</v>
      </c>
      <c r="V14" t="n">
        <v>1</v>
      </c>
      <c r="W14" t="inlineStr">
        <is>
          <t>De novo</t>
        </is>
      </c>
      <c r="X14" t="inlineStr">
        <is>
          <t>Revenue Recognized</t>
        </is>
      </c>
      <c r="AD14" t="n">
        <v>0</v>
      </c>
    </row>
    <row r="15">
      <c r="A15" t="inlineStr">
        <is>
          <t>zcolon@cvrx.com</t>
        </is>
      </c>
      <c r="B15" t="inlineStr">
        <is>
          <t>Zilma Colon</t>
        </is>
      </c>
      <c r="C15" t="inlineStr">
        <is>
          <t>FLORIDA (VIDUNA)</t>
        </is>
      </c>
      <c r="D15" t="inlineStr">
        <is>
          <t>RE_06</t>
        </is>
      </c>
      <c r="E15" s="46" t="n">
        <v>46052</v>
      </c>
      <c r="F15" t="inlineStr">
        <is>
          <t>2026_01</t>
        </is>
      </c>
      <c r="G15" t="inlineStr">
        <is>
          <t>2026_Q1</t>
        </is>
      </c>
      <c r="H15" s="47" t="n">
        <v>46052</v>
      </c>
      <c r="I15" t="inlineStr">
        <is>
          <t>2026_01</t>
        </is>
      </c>
      <c r="J15" t="inlineStr">
        <is>
          <t>2026_Q1</t>
        </is>
      </c>
      <c r="K15" t="inlineStr">
        <is>
          <t>Lawnwood Regional Medical Center &amp; Heart Institute</t>
        </is>
      </c>
      <c r="L15" t="inlineStr">
        <is>
          <t>0014u00001s9EqJAAU</t>
        </is>
      </c>
      <c r="M15" t="inlineStr">
        <is>
          <t>CRX323 029670</t>
        </is>
      </c>
      <c r="N15" t="inlineStr">
        <is>
          <t>006UY00000Vu8CLYAZ</t>
        </is>
      </c>
      <c r="O15" t="inlineStr">
        <is>
          <t>Shakoor Arain</t>
        </is>
      </c>
      <c r="P15" t="inlineStr">
        <is>
          <t>0034u00002Xvvn4AAB</t>
        </is>
      </c>
      <c r="Q15" t="n">
        <v>0</v>
      </c>
      <c r="R15" t="n">
        <v>28668.5393258427</v>
      </c>
      <c r="S15" t="n">
        <v>465154.0786516854</v>
      </c>
      <c r="T15" t="n">
        <v>1</v>
      </c>
      <c r="U15" t="n">
        <v>1</v>
      </c>
      <c r="V15" t="n">
        <v>0</v>
      </c>
      <c r="W15" t="inlineStr">
        <is>
          <t>De novo</t>
        </is>
      </c>
      <c r="X15" t="inlineStr">
        <is>
          <t>Revenue Recognized</t>
        </is>
      </c>
      <c r="AD1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2026-02-11T00:51:15Z</dcterms:modified>
  <cp:lastModifiedBy>Alan Sorensen</cp:lastModifiedBy>
  <cp:lastPrinted>2024-06-15T00:27:31Z</cp:lastPrinted>
</cp:coreProperties>
</file>