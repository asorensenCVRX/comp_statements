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1480" yWindow="2715" windowWidth="29040" windowHeight="15720" tabRatio="600" firstSheet="0" activeTab="0" autoFilterDateGrouping="1"/>
  </bookViews>
  <sheets>
    <sheet name="STATEMENT" sheetId="1" state="visible" r:id="rId1"/>
    <sheet name="payout" sheetId="2" state="visible" r:id="rId2"/>
    <sheet name="info" sheetId="3" state="visible" r:id="rId3"/>
    <sheet name="detai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YYYY-MM-DD HH:MM:SS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000E3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5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3" pivotButton="0" quotePrefix="0" xfId="0"/>
    <xf numFmtId="0" fontId="5" fillId="0" borderId="0" pivotButton="0" quotePrefix="0" xfId="0"/>
    <xf numFmtId="164" fontId="2" fillId="0" borderId="4" applyAlignment="1" pivotButton="0" quotePrefix="0" xfId="1">
      <alignment horizontal="center"/>
    </xf>
    <xf numFmtId="0" fontId="4" fillId="4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65" fontId="2" fillId="0" borderId="5" applyAlignment="1" pivotButton="0" quotePrefix="0" xfId="1">
      <alignment horizontal="center"/>
    </xf>
    <xf numFmtId="0" fontId="3" fillId="0" borderId="15" pivotButton="0" quotePrefix="0" xfId="0"/>
    <xf numFmtId="164" fontId="2" fillId="0" borderId="16" applyAlignment="1" pivotButton="0" quotePrefix="0" xfId="0">
      <alignment horizontal="center"/>
    </xf>
    <xf numFmtId="164" fontId="2" fillId="0" borderId="7" applyAlignment="1" pivotButton="0" quotePrefix="0" xfId="1">
      <alignment horizontal="center"/>
    </xf>
    <xf numFmtId="164" fontId="2" fillId="0" borderId="19" applyAlignment="1" pivotButton="0" quotePrefix="0" xfId="0">
      <alignment horizontal="center"/>
    </xf>
    <xf numFmtId="0" fontId="2" fillId="0" borderId="5" applyAlignment="1" pivotButton="0" quotePrefix="0" xfId="0">
      <alignment horizontal="left"/>
    </xf>
    <xf numFmtId="164" fontId="0" fillId="0" borderId="0" pivotButton="0" quotePrefix="0" xfId="0"/>
    <xf numFmtId="0" fontId="3" fillId="0" borderId="20" pivotButton="0" quotePrefix="0" xfId="0"/>
    <xf numFmtId="165" fontId="6" fillId="0" borderId="9" applyAlignment="1" pivotButton="0" quotePrefix="0" xfId="0">
      <alignment horizontal="center"/>
    </xf>
    <xf numFmtId="165" fontId="2" fillId="0" borderId="21" applyAlignment="1" pivotButton="0" quotePrefix="0" xfId="0">
      <alignment horizontal="center"/>
    </xf>
    <xf numFmtId="165" fontId="2" fillId="0" borderId="4" applyAlignment="1" pivotButton="0" quotePrefix="0" xfId="2">
      <alignment horizontal="center"/>
    </xf>
    <xf numFmtId="165" fontId="2" fillId="0" borderId="10" applyAlignment="1" pivotButton="0" quotePrefix="0" xfId="0">
      <alignment horizontal="center"/>
    </xf>
    <xf numFmtId="165" fontId="2" fillId="0" borderId="7" applyAlignment="1" pivotButton="0" quotePrefix="0" xfId="0">
      <alignment horizontal="center"/>
    </xf>
    <xf numFmtId="0" fontId="3" fillId="0" borderId="22" pivotButton="0" quotePrefix="0" xfId="0"/>
    <xf numFmtId="165" fontId="2" fillId="0" borderId="23" applyAlignment="1" pivotButton="0" quotePrefix="0" xfId="0">
      <alignment horizontal="center"/>
    </xf>
    <xf numFmtId="0" fontId="7" fillId="0" borderId="0" pivotButton="0" quotePrefix="0" xfId="0"/>
    <xf numFmtId="164" fontId="2" fillId="0" borderId="7" applyAlignment="1" pivotButton="0" quotePrefix="0" xfId="0">
      <alignment horizontal="center"/>
    </xf>
    <xf numFmtId="164" fontId="3" fillId="3" borderId="19" applyAlignment="1" pivotButton="0" quotePrefix="0" xfId="0">
      <alignment horizontal="center"/>
    </xf>
    <xf numFmtId="0" fontId="8" fillId="5" borderId="3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3" fillId="0" borderId="3" pivotButton="0" quotePrefix="0" xfId="0"/>
    <xf numFmtId="0" fontId="0" fillId="0" borderId="6" pivotButton="0" quotePrefix="0" xfId="0"/>
    <xf numFmtId="0" fontId="2" fillId="0" borderId="5" applyAlignment="1" pivotButton="0" quotePrefix="0" xfId="0">
      <alignment horizontal="center"/>
    </xf>
    <xf numFmtId="0" fontId="4" fillId="2" borderId="5" applyAlignment="1" pivotButton="0" quotePrefix="0" xfId="0">
      <alignment horizontal="center" vertical="center"/>
    </xf>
    <xf numFmtId="0" fontId="0" fillId="0" borderId="11" pivotButton="0" quotePrefix="0" xfId="0"/>
    <xf numFmtId="0" fontId="4" fillId="2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3" fillId="0" borderId="17" applyAlignment="1" pivotButton="0" quotePrefix="0" xfId="0">
      <alignment horizontal="left" wrapText="1"/>
    </xf>
    <xf numFmtId="0" fontId="0" fillId="0" borderId="18" pivotButton="0" quotePrefix="0" xfId="0"/>
    <xf numFmtId="0" fontId="3" fillId="0" borderId="3" applyAlignment="1" pivotButton="0" quotePrefix="0" xfId="0">
      <alignment horizontal="left"/>
    </xf>
    <xf numFmtId="0" fontId="6" fillId="0" borderId="8" pivotButton="0" quotePrefix="0" xfId="0"/>
    <xf numFmtId="0" fontId="0" fillId="0" borderId="13" pivotButton="0" quotePrefix="0" xfId="0"/>
    <xf numFmtId="0" fontId="8" fillId="5" borderId="27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/>
    </xf>
    <xf numFmtId="0" fontId="0" fillId="0" borderId="14" pivotButton="0" quotePrefix="0" xfId="0"/>
    <xf numFmtId="0" fontId="3" fillId="0" borderId="3" applyAlignment="1" pivotButton="0" quotePrefix="0" xfId="0">
      <alignment horizontal="left" wrapText="1"/>
    </xf>
    <xf numFmtId="0" fontId="4" fillId="4" borderId="5" applyAlignment="1" pivotButton="0" quotePrefix="0" xfId="0">
      <alignment horizontal="center"/>
    </xf>
    <xf numFmtId="0" fontId="3" fillId="0" borderId="24" applyAlignment="1" pivotButton="0" quotePrefix="0" xfId="0">
      <alignment horizontal="left"/>
    </xf>
    <xf numFmtId="0" fontId="0" fillId="0" borderId="25" pivotButton="0" quotePrefix="0" xfId="0"/>
    <xf numFmtId="164" fontId="2" fillId="0" borderId="26" applyAlignment="1" pivotButton="0" quotePrefix="0" xfId="0">
      <alignment horizontal="center"/>
    </xf>
    <xf numFmtId="165" fontId="2" fillId="0" borderId="26" applyAlignment="1" pivotButton="0" quotePrefix="0" xfId="0">
      <alignment horizontal="center"/>
    </xf>
    <xf numFmtId="166" fontId="0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1"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1104900</colOff>
      <row>1</row>
      <rowOff>104775</rowOff>
    </from>
    <to>
      <col>6</col>
      <colOff>873348</colOff>
      <row>3</row>
      <rowOff>180998</rowOff>
    </to>
    <pic>
      <nvPicPr>
        <cNvPr id="3" name="Picture 2" descr="A picture containing text, sign, dark&#10;&#10;Description automatically generated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924425" y="304800"/>
          <a:ext cx="938118" cy="327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K47"/>
  <sheetViews>
    <sheetView tabSelected="1" view="pageBreakPreview" zoomScale="120" zoomScaleNormal="100" zoomScaleSheetLayoutView="120" workbookViewId="0">
      <selection activeCell="G11" sqref="G11"/>
    </sheetView>
  </sheetViews>
  <sheetFormatPr baseColWidth="8" defaultRowHeight="15.75"/>
  <cols>
    <col width="0.7109375" customWidth="1" style="1" min="1" max="1"/>
    <col width="25.28515625" customWidth="1" style="1" min="2" max="2"/>
    <col width="13.7109375" customWidth="1" style="1" min="3" max="3"/>
    <col width="11.85546875" customWidth="1" style="1" min="4" max="4"/>
    <col width="5.5703125" customWidth="1" style="1" min="5" max="5"/>
    <col width="17.85546875" customWidth="1" style="1" min="6" max="6"/>
    <col width="14.7109375" customWidth="1" style="1" min="7" max="7"/>
    <col width="12.5703125" customWidth="1" min="11" max="11"/>
  </cols>
  <sheetData>
    <row r="1" ht="3.95" customHeight="1"/>
    <row r="2">
      <c r="B2" s="2" t="inlineStr">
        <is>
          <t xml:space="preserve">CVRx US Variable Incentive Compensation Statement </t>
        </is>
      </c>
    </row>
    <row r="3" ht="3.95" customHeight="1"/>
    <row r="4">
      <c r="B4" s="2">
        <f>info!B1</f>
        <v/>
      </c>
    </row>
    <row r="5">
      <c r="B5" s="2">
        <f>info!B5</f>
        <v/>
      </c>
    </row>
    <row r="6">
      <c r="B6" s="2">
        <f>info!B6 &amp; " 2026"</f>
        <v/>
      </c>
      <c r="C6" s="5">
        <f>_xlfn.CONCAT(TEXT(B6,"YYYY"), "_", TEXT(B6,"MM"))</f>
        <v/>
      </c>
    </row>
    <row r="7" ht="3.95" customHeight="1"/>
    <row r="8" ht="3.95" customHeight="1" thickBot="1"/>
    <row r="9">
      <c r="B9" s="34" t="inlineStr">
        <is>
          <t>Sales Performance</t>
        </is>
      </c>
      <c r="C9" s="36" t="n"/>
      <c r="D9" s="3" t="n"/>
      <c r="E9" s="34" t="inlineStr">
        <is>
          <t>Final Payment</t>
        </is>
      </c>
      <c r="F9" s="35" t="n"/>
      <c r="G9" s="36" t="n"/>
    </row>
    <row r="10">
      <c r="B10" s="27" t="inlineStr">
        <is>
          <t>ATM Account Sales</t>
        </is>
      </c>
      <c r="C10" s="50">
        <f>_xlfn.XLOOKUP("ATM_ACCOUNT_REV", payout!G:G,payout!F:F)</f>
        <v/>
      </c>
      <c r="D10" s="28">
        <f>IF(G10&gt;0, 1, 0)</f>
        <v/>
      </c>
      <c r="E10" s="27" t="inlineStr">
        <is>
          <t>ATM Account Payout</t>
        </is>
      </c>
      <c r="F10" s="30" t="n"/>
      <c r="G10" s="49">
        <f>_xlfn.XLOOKUP("ATM_ACCOUNT_PO", payout!G:G,payout!F:F)</f>
        <v/>
      </c>
      <c r="K10">
        <f>C10*0.15</f>
        <v/>
      </c>
    </row>
    <row r="11">
      <c r="B11" s="29" t="inlineStr">
        <is>
          <t>Level 1 Sales</t>
        </is>
      </c>
      <c r="C11" s="19">
        <f>_xlfn.XLOOKUP("L1_REV", payout!$G:$G, payout!$F:$F)</f>
        <v/>
      </c>
      <c r="D11" s="5" t="n"/>
      <c r="E11" s="29" t="inlineStr">
        <is>
          <t>Level 1 Payout</t>
        </is>
      </c>
      <c r="F11" s="30" t="n"/>
      <c r="G11" s="6">
        <f>_xlfn.XLOOKUP("L1_PO", payout!G:G,payout!F:F)</f>
        <v/>
      </c>
      <c r="K11" s="15">
        <f>C11*0.15</f>
        <v/>
      </c>
    </row>
    <row r="12" ht="16.5" customHeight="1" thickBot="1">
      <c r="A12" s="5" t="n"/>
      <c r="B12" s="29" t="inlineStr">
        <is>
          <t>Level 2 Sales</t>
        </is>
      </c>
      <c r="C12" s="21">
        <f>_xlfn.XLOOKUP("L2_REV", payout!$G:$G, payout!$F:$F)</f>
        <v/>
      </c>
      <c r="D12" s="5" t="n"/>
      <c r="E12" s="29" t="inlineStr">
        <is>
          <t>Level 2 Payout</t>
        </is>
      </c>
      <c r="F12" s="30" t="n"/>
      <c r="G12" s="12">
        <f>_xlfn.XLOOKUP("L2_PO",payout!G:G,payout!F:F)</f>
        <v/>
      </c>
      <c r="K12" s="15">
        <f>C12*0.2</f>
        <v/>
      </c>
    </row>
    <row r="13" ht="17.25" customHeight="1" thickBot="1" thickTop="1">
      <c r="B13" s="10" t="inlineStr">
        <is>
          <t>Total Sales</t>
        </is>
      </c>
      <c r="C13" s="20">
        <f>SUM(C10:C12)</f>
        <v/>
      </c>
      <c r="D13" s="5" t="n"/>
      <c r="E13" s="43" t="inlineStr">
        <is>
          <t>Subtotal</t>
        </is>
      </c>
      <c r="F13" s="44" t="n"/>
      <c r="G13" s="13">
        <f>SUM(G10:G12)</f>
        <v/>
      </c>
      <c r="K13" s="15" t="n"/>
    </row>
    <row r="14" ht="17.25" customHeight="1" thickBot="1" thickTop="1">
      <c r="B14" s="16" t="inlineStr">
        <is>
          <t>QTD Sales</t>
        </is>
      </c>
      <c r="C14" s="18">
        <f>_xlfn.IFNA(_xlfn.XLOOKUP("QTD_SALES", payout!G:G,payout!F:F), 0)</f>
        <v/>
      </c>
      <c r="D14" s="5" t="n"/>
      <c r="E14" s="37" t="inlineStr">
        <is>
          <t>Adjustments</t>
        </is>
      </c>
      <c r="F14" s="38" t="n"/>
      <c r="G14" s="11">
        <f>_xlfn.IFNA(_xlfn.XLOOKUP("ADJUSTMENTS", payout!G:G,payout!F:F), 0) + _xlfn.IFNA(_xlfn.XLOOKUP("T-SPLIT", payout!G:G,payout!F:F), 0)</f>
        <v/>
      </c>
    </row>
    <row r="15">
      <c r="D15" s="5" t="n">
        <v>1</v>
      </c>
      <c r="E15" s="45" t="inlineStr">
        <is>
          <t>CPAS Payout</t>
        </is>
      </c>
      <c r="F15" s="30" t="n"/>
      <c r="G15" s="11">
        <f>IFERROR(_xlfn.XLOOKUP("CPAS_PO", payout!G:G,payout!F:F), 0)</f>
        <v/>
      </c>
    </row>
    <row r="16" ht="16.5" customHeight="1">
      <c r="D16" s="5">
        <f>IF(G16&gt;0, 1, 0)</f>
        <v/>
      </c>
      <c r="E16" s="39" t="inlineStr">
        <is>
          <t>Program Accel</t>
        </is>
      </c>
      <c r="F16" s="30" t="n"/>
      <c r="G16" s="11">
        <f>IFERROR(_xlfn.XLOOKUP("PROGRAM_ACCEL_PO",payout!G:G,payout!F:F), 0)</f>
        <v/>
      </c>
    </row>
    <row r="17" ht="16.5" customHeight="1">
      <c r="D17" s="5">
        <f>IF(G17&gt;0, 1, 0)</f>
        <v/>
      </c>
      <c r="E17" s="39" t="inlineStr">
        <is>
          <t>Implant Ratio Accel</t>
        </is>
      </c>
      <c r="F17" s="30" t="n"/>
      <c r="G17" s="11">
        <f>IFERROR(_xlfn.XLOOKUP("IMPLANT_ACCEL_TRUE_UP",payout!G:G,payout!F:F), 0)</f>
        <v/>
      </c>
    </row>
    <row r="18" ht="16.5" customHeight="1" thickBot="1">
      <c r="D18" s="5">
        <f>IF(G18&gt;0, IF(G18&gt;IFERROR(_xlfn.XLOOKUP("TTL_PO", payout!G:G,payout!F:F), 0), 1, 0), 0)</f>
        <v/>
      </c>
      <c r="E18" s="47" t="inlineStr">
        <is>
          <t>Minimum Payout</t>
        </is>
      </c>
      <c r="F18" s="48" t="n"/>
      <c r="G18" s="25">
        <f>IFERROR(_xlfn.XLOOKUP("GUR_AMT",payout!G:G,payout!F:F), 0)</f>
        <v/>
      </c>
    </row>
    <row r="19" ht="17.25" customHeight="1" thickBot="1" thickTop="1">
      <c r="D19" s="24" t="n"/>
      <c r="E19" s="43" t="inlineStr">
        <is>
          <t>Final Payout</t>
        </is>
      </c>
      <c r="F19" s="44" t="n"/>
      <c r="G19" s="26">
        <f>_xlfn.XLOOKUP("PO_AMT", payout!G:G,payout!F:F)</f>
        <v/>
      </c>
    </row>
    <row r="20" ht="17.25" customHeight="1" thickBot="1" thickTop="1">
      <c r="B20" s="22" t="inlineStr">
        <is>
          <t>Q1 Threshold</t>
        </is>
      </c>
      <c r="C20" s="23">
        <f>info!B7</f>
        <v/>
      </c>
      <c r="E20" s="40" t="inlineStr">
        <is>
          <t>YTD Payout</t>
        </is>
      </c>
      <c r="F20" s="41" t="n"/>
      <c r="G20" s="17">
        <f>_xlfn.XLOOKUP("YTD_PO", payout!G:G,payout!F:F)</f>
        <v/>
      </c>
    </row>
    <row r="21" ht="3.95" customHeight="1"/>
    <row r="22" ht="3.95" customHeight="1"/>
    <row r="23">
      <c r="B23" s="32" t="inlineStr">
        <is>
          <t xml:space="preserve">Opportunity Detail </t>
        </is>
      </c>
      <c r="C23" s="33" t="n"/>
      <c r="D23" s="33" t="n"/>
      <c r="E23" s="33" t="n"/>
      <c r="F23" s="33" t="n"/>
      <c r="G23" s="30" t="n"/>
    </row>
    <row r="24">
      <c r="B24" s="46" t="inlineStr">
        <is>
          <t>Account</t>
        </is>
      </c>
      <c r="C24" s="46" t="inlineStr">
        <is>
          <t>Type</t>
        </is>
      </c>
      <c r="D24" s="46" t="inlineStr">
        <is>
          <t>Opp Name</t>
        </is>
      </c>
      <c r="E24" s="30" t="n"/>
      <c r="F24" s="46" t="inlineStr">
        <is>
          <t>Sales</t>
        </is>
      </c>
      <c r="G24" s="46" t="inlineStr">
        <is>
          <t>Rev Units</t>
        </is>
      </c>
    </row>
    <row r="25">
      <c r="B25" s="14">
        <f>IF(LEN(detail!P2)&lt;1,"",detail!P2)</f>
        <v/>
      </c>
      <c r="C25" s="14">
        <f>IF(LEN(detail!X2)&lt;1,"", detail!X2)</f>
        <v/>
      </c>
      <c r="D25" s="31">
        <f>IF(LEN(detail!R2)&lt;1,"",detail!R2)</f>
        <v/>
      </c>
      <c r="E25" s="30" t="n"/>
      <c r="F25" s="9">
        <f>DOLLAR(IF(LEN(detail!AF2)&lt;1,"",detail!AF2), 0) &amp; IF(detail!AG2 = 1, "*", "")</f>
        <v/>
      </c>
      <c r="G25" s="31">
        <f>IF(LEN(detail!AC2)&lt;1,"",detail!AC2)</f>
        <v/>
      </c>
    </row>
    <row r="26">
      <c r="B26" s="14">
        <f>IF(LEN(detail!P3)&lt;1,"",detail!P3)</f>
        <v/>
      </c>
      <c r="C26" s="14">
        <f>IF(LEN(detail!X3)&lt;1,"", detail!X3)</f>
        <v/>
      </c>
      <c r="D26" s="31">
        <f>IF(LEN(detail!R3)&lt;1,"",detail!R3)</f>
        <v/>
      </c>
      <c r="E26" s="30" t="n"/>
      <c r="F26" s="9">
        <f>DOLLAR(IF(LEN(detail!AF3)&lt;1,"",detail!AF3), 0) &amp; IF(detail!AG3 = 1, "*", "")</f>
        <v/>
      </c>
      <c r="G26" s="31">
        <f>IF(LEN(detail!AC3)&lt;1,"",detail!AC3)</f>
        <v/>
      </c>
    </row>
    <row r="27">
      <c r="B27" s="14">
        <f>IF(LEN(detail!P4)&lt;1,"",detail!P4)</f>
        <v/>
      </c>
      <c r="C27" s="14">
        <f>IF(LEN(detail!X4)&lt;1,"", detail!X4)</f>
        <v/>
      </c>
      <c r="D27" s="31">
        <f>IF(LEN(detail!R4)&lt;1,"",detail!R4)</f>
        <v/>
      </c>
      <c r="E27" s="30" t="n"/>
      <c r="F27" s="9">
        <f>DOLLAR(IF(LEN(detail!AF4)&lt;1,"",detail!AF4), 0) &amp; IF(detail!AG4 = 1, "*", "")</f>
        <v/>
      </c>
      <c r="G27" s="31">
        <f>IF(LEN(detail!AC4)&lt;1,"",detail!AC4)</f>
        <v/>
      </c>
    </row>
    <row r="28">
      <c r="B28" s="14">
        <f>IF(LEN(detail!P5)&lt;1,"",detail!P5)</f>
        <v/>
      </c>
      <c r="C28" s="14">
        <f>IF(LEN(detail!X5)&lt;1,"", detail!X5)</f>
        <v/>
      </c>
      <c r="D28" s="31">
        <f>IF(LEN(detail!R5)&lt;1,"",detail!R5)</f>
        <v/>
      </c>
      <c r="E28" s="30" t="n"/>
      <c r="F28" s="9">
        <f>DOLLAR(IF(LEN(detail!AF5)&lt;1,"",detail!AF5), 0) &amp; IF(detail!AG5 = 1, "*", "")</f>
        <v/>
      </c>
      <c r="G28" s="31">
        <f>IF(LEN(detail!AC5)&lt;1,"",detail!AC5)</f>
        <v/>
      </c>
    </row>
    <row r="29">
      <c r="B29" s="14">
        <f>IF(LEN(detail!P6)&lt;1,"",detail!P6)</f>
        <v/>
      </c>
      <c r="C29" s="14">
        <f>IF(LEN(detail!X6)&lt;1,"", detail!X6)</f>
        <v/>
      </c>
      <c r="D29" s="31">
        <f>IF(LEN(detail!R6)&lt;1,"",detail!R6)</f>
        <v/>
      </c>
      <c r="E29" s="30" t="n"/>
      <c r="F29" s="9">
        <f>DOLLAR(IF(LEN(detail!AF6)&lt;1,"",detail!AF6), 0) &amp; IF(detail!AG6 = 1, "*", "")</f>
        <v/>
      </c>
      <c r="G29" s="31">
        <f>IF(LEN(detail!AC6)&lt;1,"",detail!AC6)</f>
        <v/>
      </c>
    </row>
    <row r="30">
      <c r="B30" s="14">
        <f>IF(LEN(detail!P7)&lt;1,"",detail!P7)</f>
        <v/>
      </c>
      <c r="C30" s="14">
        <f>IF(LEN(detail!X7)&lt;1,"", detail!X7)</f>
        <v/>
      </c>
      <c r="D30" s="31">
        <f>IF(LEN(detail!R7)&lt;1,"",detail!R7)</f>
        <v/>
      </c>
      <c r="E30" s="30" t="n"/>
      <c r="F30" s="9">
        <f>DOLLAR(IF(LEN(detail!AF7)&lt;1,"",detail!AF7), 0) &amp; IF(detail!AG7 = 1, "*", "")</f>
        <v/>
      </c>
      <c r="G30" s="31">
        <f>IF(LEN(detail!AC7)&lt;1,"",detail!AC7)</f>
        <v/>
      </c>
    </row>
    <row r="31">
      <c r="B31" s="14">
        <f>IF(LEN(detail!P8)&lt;1,"",detail!P8)</f>
        <v/>
      </c>
      <c r="C31" s="14">
        <f>IF(LEN(detail!X8)&lt;1,"", detail!X8)</f>
        <v/>
      </c>
      <c r="D31" s="31">
        <f>IF(LEN(detail!R8)&lt;1,"",detail!R8)</f>
        <v/>
      </c>
      <c r="E31" s="30" t="n"/>
      <c r="F31" s="9">
        <f>DOLLAR(IF(LEN(detail!AF8)&lt;1,"",detail!AF8), 0) &amp; IF(detail!AG8 = 1, "*", "")</f>
        <v/>
      </c>
      <c r="G31" s="31">
        <f>IF(LEN(detail!AC8)&lt;1,"",detail!AC8)</f>
        <v/>
      </c>
    </row>
    <row r="32">
      <c r="B32" s="14">
        <f>IF(LEN(detail!P9)&lt;1,"",detail!P9)</f>
        <v/>
      </c>
      <c r="C32" s="14">
        <f>IF(LEN(detail!X9)&lt;1,"", detail!X9)</f>
        <v/>
      </c>
      <c r="D32" s="31">
        <f>IF(LEN(detail!R9)&lt;1,"",detail!R9)</f>
        <v/>
      </c>
      <c r="E32" s="30" t="n"/>
      <c r="F32" s="9">
        <f>DOLLAR(IF(LEN(detail!AF9)&lt;1,"",detail!AF9), 0) &amp; IF(detail!AG9 = 1, "*", "")</f>
        <v/>
      </c>
      <c r="G32" s="31">
        <f>IF(LEN(detail!AC9)&lt;1,"",detail!AC9)</f>
        <v/>
      </c>
    </row>
    <row r="33">
      <c r="B33" s="14">
        <f>IF(LEN(detail!P10)&lt;1,"",detail!P10)</f>
        <v/>
      </c>
      <c r="C33" s="14">
        <f>IF(LEN(detail!X10)&lt;1,"", detail!X10)</f>
        <v/>
      </c>
      <c r="D33" s="31">
        <f>IF(LEN(detail!R10)&lt;1,"",detail!R10)</f>
        <v/>
      </c>
      <c r="E33" s="30" t="n"/>
      <c r="F33" s="9">
        <f>DOLLAR(IF(LEN(detail!AF10)&lt;1,"",detail!AF10), 0) &amp; IF(detail!AG10 = 1, "*", "")</f>
        <v/>
      </c>
      <c r="G33" s="31">
        <f>IF(LEN(detail!AC10)&lt;1,"",detail!AC10)</f>
        <v/>
      </c>
    </row>
    <row r="34">
      <c r="B34" s="14">
        <f>IF(LEN(detail!P11)&lt;1,"",detail!P11)</f>
        <v/>
      </c>
      <c r="C34" s="14">
        <f>IF(LEN(detail!X11)&lt;1,"", detail!X11)</f>
        <v/>
      </c>
      <c r="D34" s="31">
        <f>IF(LEN(detail!R11)&lt;1,"",detail!R11)</f>
        <v/>
      </c>
      <c r="E34" s="30" t="n"/>
      <c r="F34" s="9">
        <f>DOLLAR(IF(LEN(detail!AF11)&lt;1,"",detail!AF11), 0) &amp; IF(detail!AG11 = 1, "*", "")</f>
        <v/>
      </c>
      <c r="G34" s="31">
        <f>IF(LEN(detail!AC11)&lt;1,"",detail!AC11)</f>
        <v/>
      </c>
    </row>
    <row r="35">
      <c r="B35" s="14">
        <f>IF(LEN(detail!P12)&lt;1,"",detail!P12)</f>
        <v/>
      </c>
      <c r="C35" s="14">
        <f>IF(LEN(detail!X12)&lt;1,"", detail!X12)</f>
        <v/>
      </c>
      <c r="D35" s="31">
        <f>IF(LEN(detail!R12)&lt;1,"",detail!R12)</f>
        <v/>
      </c>
      <c r="E35" s="30" t="n"/>
      <c r="F35" s="9">
        <f>DOLLAR(IF(LEN(detail!AF12)&lt;1,"",detail!AF12), 0) &amp; IF(detail!AG12 = 1, "*", "")</f>
        <v/>
      </c>
      <c r="G35" s="31">
        <f>IF(LEN(detail!AC12)&lt;1,"",detail!AC12)</f>
        <v/>
      </c>
    </row>
    <row r="36">
      <c r="B36" s="14">
        <f>IF(LEN(detail!P13)&lt;1,"",detail!P13)</f>
        <v/>
      </c>
      <c r="C36" s="14">
        <f>IF(LEN(detail!X13)&lt;1,"", detail!X13)</f>
        <v/>
      </c>
      <c r="D36" s="31">
        <f>IF(LEN(detail!R13)&lt;1,"",detail!R13)</f>
        <v/>
      </c>
      <c r="E36" s="30" t="n"/>
      <c r="F36" s="9">
        <f>DOLLAR(IF(LEN(detail!AF13)&lt;1,"",detail!AF13), 0) &amp; IF(detail!AG13 = 1, "*", "")</f>
        <v/>
      </c>
      <c r="G36" s="31">
        <f>IF(LEN(detail!AC13)&lt;1,"",detail!AC13)</f>
        <v/>
      </c>
    </row>
    <row r="37">
      <c r="B37" s="14">
        <f>IF(LEN(detail!P14)&lt;1,"",detail!P14)</f>
        <v/>
      </c>
      <c r="C37" s="14">
        <f>IF(LEN(detail!X14)&lt;1,"", detail!X14)</f>
        <v/>
      </c>
      <c r="D37" s="31">
        <f>IF(LEN(detail!R14)&lt;1,"",detail!R14)</f>
        <v/>
      </c>
      <c r="E37" s="30" t="n"/>
      <c r="F37" s="9">
        <f>DOLLAR(IF(LEN(detail!AF14)&lt;1,"",detail!AF14), 0) &amp; IF(detail!AG14 = 1, "*", "")</f>
        <v/>
      </c>
      <c r="G37" s="31">
        <f>IF(LEN(detail!AC14)&lt;1,"",detail!AC14)</f>
        <v/>
      </c>
    </row>
    <row r="38">
      <c r="B38" s="14">
        <f>IF(LEN(detail!P15)&lt;1,"",detail!P15)</f>
        <v/>
      </c>
      <c r="C38" s="14">
        <f>IF(LEN(detail!X15)&lt;1,"", detail!X15)</f>
        <v/>
      </c>
      <c r="D38" s="31">
        <f>IF(LEN(detail!R15)&lt;1,"",detail!R15)</f>
        <v/>
      </c>
      <c r="E38" s="30" t="n"/>
      <c r="F38" s="9">
        <f>DOLLAR(IF(LEN(detail!AF15)&lt;1,"",detail!AF15), 0) &amp; IF(detail!AG15 = 1, "*", "")</f>
        <v/>
      </c>
      <c r="G38" s="31">
        <f>IF(LEN(detail!AC15)&lt;1,"",detail!AC15)</f>
        <v/>
      </c>
    </row>
    <row r="39">
      <c r="B39" s="14">
        <f>IF(LEN(detail!P16)&lt;1,"",detail!P16)</f>
        <v/>
      </c>
      <c r="C39" s="14">
        <f>IF(LEN(detail!X16)&lt;1,"", detail!X16)</f>
        <v/>
      </c>
      <c r="D39" s="31">
        <f>IF(LEN(detail!R16)&lt;1,"",detail!R16)</f>
        <v/>
      </c>
      <c r="E39" s="30" t="n"/>
      <c r="F39" s="9">
        <f>DOLLAR(IF(LEN(detail!AF16)&lt;1,"",detail!AF16), 0) &amp; IF(detail!AG16 = 1, "*", "")</f>
        <v/>
      </c>
      <c r="G39" s="31">
        <f>IF(LEN(detail!AC16)&lt;1,"",detail!AC16)</f>
        <v/>
      </c>
    </row>
    <row r="40">
      <c r="B40" s="14">
        <f>IF(LEN(detail!P17)&lt;1,"",detail!P17)</f>
        <v/>
      </c>
      <c r="C40" s="14">
        <f>IF(LEN(detail!X17)&lt;1,"", detail!X17)</f>
        <v/>
      </c>
      <c r="D40" s="31">
        <f>IF(LEN(detail!R17)&lt;1,"",detail!R17)</f>
        <v/>
      </c>
      <c r="E40" s="30" t="n"/>
      <c r="F40" s="9">
        <f>DOLLAR(IF(LEN(detail!AF17)&lt;1,"",detail!AF17), 0) &amp; IF(detail!AG17 = 1, "*", "")</f>
        <v/>
      </c>
      <c r="G40" s="31">
        <f>IF(LEN(detail!AC17)&lt;1,"",detail!AC17)</f>
        <v/>
      </c>
    </row>
    <row r="41">
      <c r="B41" s="14">
        <f>IF(LEN(detail!P18)&lt;1,"",detail!P18)</f>
        <v/>
      </c>
      <c r="C41" s="14">
        <f>IF(LEN(detail!X18)&lt;1,"", detail!X18)</f>
        <v/>
      </c>
      <c r="D41" s="31">
        <f>IF(LEN(detail!R18)&lt;1,"",detail!R18)</f>
        <v/>
      </c>
      <c r="E41" s="30" t="n"/>
      <c r="F41" s="9">
        <f>DOLLAR(IF(LEN(detail!AF18)&lt;1,"",detail!AF18), 0) &amp; IF(detail!AG18 = 1, "*", "")</f>
        <v/>
      </c>
      <c r="G41" s="31">
        <f>IF(LEN(detail!AC18)&lt;1,"",detail!AC18)</f>
        <v/>
      </c>
    </row>
    <row r="42">
      <c r="B42" s="14">
        <f>IF(LEN(detail!P19)&lt;1,"",detail!P19)</f>
        <v/>
      </c>
      <c r="C42" s="14">
        <f>IF(LEN(detail!X19)&lt;1,"", detail!X19)</f>
        <v/>
      </c>
      <c r="D42" s="31">
        <f>IF(LEN(detail!R19)&lt;1,"",detail!R19)</f>
        <v/>
      </c>
      <c r="E42" s="30" t="n"/>
      <c r="F42" s="9">
        <f>DOLLAR(IF(LEN(detail!AF19)&lt;1,"",detail!AF19), 0) &amp; IF(detail!AG19 = 1, "*", "")</f>
        <v/>
      </c>
      <c r="G42" s="31">
        <f>IF(LEN(detail!AC19)&lt;1,"",detail!AC19)</f>
        <v/>
      </c>
    </row>
    <row r="43">
      <c r="B43" s="14">
        <f>IF(LEN(detail!P20)&lt;1,"",detail!P20)</f>
        <v/>
      </c>
      <c r="C43" s="14">
        <f>IF(LEN(detail!X20)&lt;1,"", detail!X20)</f>
        <v/>
      </c>
      <c r="D43" s="31">
        <f>IF(LEN(detail!R20)&lt;1,"",detail!R20)</f>
        <v/>
      </c>
      <c r="E43" s="30" t="n"/>
      <c r="F43" s="9">
        <f>DOLLAR(IF(LEN(detail!AF20)&lt;1,"",detail!AF20), 0) &amp; IF(detail!AG20 = 1, "*", "")</f>
        <v/>
      </c>
      <c r="G43" s="31">
        <f>IF(LEN(detail!AC20)&lt;1,"",detail!AC20)</f>
        <v/>
      </c>
    </row>
    <row r="44">
      <c r="B44" s="14">
        <f>IF(LEN(detail!P21)&lt;1,"",detail!P21)</f>
        <v/>
      </c>
      <c r="C44" s="14">
        <f>IF(LEN(detail!X21)&lt;1,"", detail!X21)</f>
        <v/>
      </c>
      <c r="D44" s="31">
        <f>IF(LEN(detail!R21)&lt;1,"",detail!R21)</f>
        <v/>
      </c>
      <c r="E44" s="30" t="n"/>
      <c r="F44" s="9">
        <f>DOLLAR(IF(LEN(detail!AF21)&lt;1,"",detail!AF21), 0) &amp; IF(detail!AG21 = 1, "*", "")</f>
        <v/>
      </c>
      <c r="G44" s="31">
        <f>IF(LEN(detail!AC21)&lt;1,"",detail!AC21)</f>
        <v/>
      </c>
    </row>
    <row r="45">
      <c r="B45" s="14">
        <f>IF(LEN(detail!P22)&lt;1,"",detail!P22)</f>
        <v/>
      </c>
      <c r="C45" s="14">
        <f>IF(LEN(detail!X22)&lt;1,"", detail!X22)</f>
        <v/>
      </c>
      <c r="D45" s="31">
        <f>IF(LEN(detail!R22)&lt;1,"",detail!R22)</f>
        <v/>
      </c>
      <c r="E45" s="30" t="n"/>
      <c r="F45" s="9">
        <f>DOLLAR(IF(LEN(detail!AF22)&lt;1,"",detail!AF22), 0) &amp; IF(detail!AG22 = 1, "*", "")</f>
        <v/>
      </c>
      <c r="G45" s="31">
        <f>IF(LEN(detail!AC22)&lt;1,"",detail!AC22)</f>
        <v/>
      </c>
    </row>
    <row r="46">
      <c r="B46" s="14">
        <f>IF(LEN(detail!P23)&lt;1,"",detail!P23)</f>
        <v/>
      </c>
      <c r="C46" s="14">
        <f>IF(LEN(detail!X23)&lt;1,"", detail!X23)</f>
        <v/>
      </c>
      <c r="D46" s="31">
        <f>IF(LEN(detail!R23)&lt;1,"",detail!R23)</f>
        <v/>
      </c>
      <c r="E46" s="30" t="n"/>
      <c r="F46" s="9">
        <f>DOLLAR(IF(LEN(detail!AF23)&lt;1,"",detail!AF23), 0) &amp; IF(detail!AG23 = 1, "*", "")</f>
        <v/>
      </c>
      <c r="G46" s="31">
        <f>IF(LEN(detail!AC23)&lt;1,"",detail!AC23)</f>
        <v/>
      </c>
    </row>
    <row r="47">
      <c r="B47" s="1" t="inlineStr">
        <is>
          <t>* An asterisk denotes that the opp includes a rebate</t>
        </is>
      </c>
    </row>
  </sheetData>
  <mergeCells count="37">
    <mergeCell ref="E12:F12"/>
    <mergeCell ref="D34:E34"/>
    <mergeCell ref="B23:G23"/>
    <mergeCell ref="E9:G9"/>
    <mergeCell ref="D46:E46"/>
    <mergeCell ref="E14:F14"/>
    <mergeCell ref="D40:E40"/>
    <mergeCell ref="D36:E36"/>
    <mergeCell ref="E17:F17"/>
    <mergeCell ref="D31:E31"/>
    <mergeCell ref="D45:E45"/>
    <mergeCell ref="E20:F20"/>
    <mergeCell ref="E10:F10"/>
    <mergeCell ref="E19:F19"/>
    <mergeCell ref="D27:E27"/>
    <mergeCell ref="D32:E32"/>
    <mergeCell ref="E13:F13"/>
    <mergeCell ref="D26:E26"/>
    <mergeCell ref="D41:E41"/>
    <mergeCell ref="E15:F15"/>
    <mergeCell ref="D43:E43"/>
    <mergeCell ref="E11:F11"/>
    <mergeCell ref="D37:E37"/>
    <mergeCell ref="D28:E28"/>
    <mergeCell ref="B9:C9"/>
    <mergeCell ref="D39:E39"/>
    <mergeCell ref="D25:E25"/>
    <mergeCell ref="D30:E30"/>
    <mergeCell ref="D24:E24"/>
    <mergeCell ref="E16:F16"/>
    <mergeCell ref="D42:E42"/>
    <mergeCell ref="D33:E33"/>
    <mergeCell ref="D29:E29"/>
    <mergeCell ref="D38:E38"/>
    <mergeCell ref="E18:F18"/>
    <mergeCell ref="D44:E44"/>
    <mergeCell ref="D35:E35"/>
  </mergeCells>
  <conditionalFormatting sqref="B25:D46 F25:G46">
    <cfRule type="containsErrors" priority="1" dxfId="0">
      <formula>ISERROR(B25)</formula>
    </cfRule>
  </conditionalFormatting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YYYYMM</t>
        </is>
      </c>
      <c r="B1" t="inlineStr">
        <is>
          <t>EID</t>
        </is>
      </c>
      <c r="C1" t="inlineStr">
        <is>
          <t>YYYYQQ</t>
        </is>
      </c>
      <c r="D1" t="inlineStr">
        <is>
          <t>ROLE</t>
        </is>
      </c>
      <c r="E1" t="inlineStr">
        <is>
          <t>STATUS</t>
        </is>
      </c>
      <c r="F1" t="inlineStr">
        <is>
          <t>VALUE</t>
        </is>
      </c>
      <c r="G1" t="inlineStr">
        <is>
          <t>CATEGORY</t>
        </is>
      </c>
      <c r="H1" t="inlineStr">
        <is>
          <t>Notes</t>
        </is>
      </c>
    </row>
    <row r="2">
      <c r="A2" t="inlineStr">
        <is>
          <t>2026_01</t>
        </is>
      </c>
      <c r="B2" t="inlineStr">
        <is>
          <t>jmalberg@cvrx.com</t>
        </is>
      </c>
      <c r="C2" t="inlineStr">
        <is>
          <t>2026_Q1</t>
        </is>
      </c>
      <c r="D2" t="inlineStr">
        <is>
          <t>TM</t>
        </is>
      </c>
      <c r="E2" t="inlineStr">
        <is>
          <t>ACTIVE</t>
        </is>
      </c>
      <c r="F2" t="n">
        <v>123000</v>
      </c>
      <c r="G2" t="inlineStr">
        <is>
          <t>SALES</t>
        </is>
      </c>
    </row>
    <row r="3">
      <c r="A3" t="inlineStr">
        <is>
          <t>2026_01</t>
        </is>
      </c>
      <c r="B3" t="inlineStr">
        <is>
          <t>jmalberg@cvrx.com</t>
        </is>
      </c>
      <c r="C3" t="inlineStr">
        <is>
          <t>2026_Q1</t>
        </is>
      </c>
      <c r="D3" t="inlineStr">
        <is>
          <t>TM</t>
        </is>
      </c>
      <c r="E3" t="inlineStr">
        <is>
          <t>ACTIVE</t>
        </is>
      </c>
      <c r="F3" t="n">
        <v>60000</v>
      </c>
      <c r="G3" t="inlineStr">
        <is>
          <t>ATM_ACCOUNT_REV</t>
        </is>
      </c>
    </row>
    <row r="4">
      <c r="A4" t="inlineStr">
        <is>
          <t>2026_01</t>
        </is>
      </c>
      <c r="B4" t="inlineStr">
        <is>
          <t>jmalberg@cvrx.com</t>
        </is>
      </c>
      <c r="C4" t="inlineStr">
        <is>
          <t>2026_Q1</t>
        </is>
      </c>
      <c r="D4" t="inlineStr">
        <is>
          <t>TM</t>
        </is>
      </c>
      <c r="E4" t="inlineStr">
        <is>
          <t>ACTIVE</t>
        </is>
      </c>
      <c r="F4" t="n">
        <v>9000</v>
      </c>
      <c r="G4" t="inlineStr">
        <is>
          <t>ATM_ACCOUNT_PO</t>
        </is>
      </c>
    </row>
    <row r="5">
      <c r="A5" t="inlineStr">
        <is>
          <t>2026_01</t>
        </is>
      </c>
      <c r="B5" t="inlineStr">
        <is>
          <t>jmalberg@cvrx.com</t>
        </is>
      </c>
      <c r="C5" t="inlineStr">
        <is>
          <t>2026_Q1</t>
        </is>
      </c>
      <c r="D5" t="inlineStr">
        <is>
          <t>TM</t>
        </is>
      </c>
      <c r="E5" t="inlineStr">
        <is>
          <t>ACTIVE</t>
        </is>
      </c>
      <c r="F5" t="n">
        <v>63000</v>
      </c>
      <c r="G5" t="inlineStr">
        <is>
          <t>L1_REV</t>
        </is>
      </c>
    </row>
    <row r="6">
      <c r="A6" t="inlineStr">
        <is>
          <t>2026_01</t>
        </is>
      </c>
      <c r="B6" t="inlineStr">
        <is>
          <t>jmalberg@cvrx.com</t>
        </is>
      </c>
      <c r="C6" t="inlineStr">
        <is>
          <t>2026_Q1</t>
        </is>
      </c>
      <c r="D6" t="inlineStr">
        <is>
          <t>TM</t>
        </is>
      </c>
      <c r="E6" t="inlineStr">
        <is>
          <t>ACTIVE</t>
        </is>
      </c>
      <c r="F6" t="n">
        <v>9450</v>
      </c>
      <c r="G6" t="inlineStr">
        <is>
          <t>L1_PO</t>
        </is>
      </c>
    </row>
    <row r="7">
      <c r="A7" t="inlineStr">
        <is>
          <t>2026_01</t>
        </is>
      </c>
      <c r="B7" t="inlineStr">
        <is>
          <t>jmalberg@cvrx.com</t>
        </is>
      </c>
      <c r="C7" t="inlineStr">
        <is>
          <t>2026_Q1</t>
        </is>
      </c>
      <c r="D7" t="inlineStr">
        <is>
          <t>TM</t>
        </is>
      </c>
      <c r="E7" t="inlineStr">
        <is>
          <t>ACTIVE</t>
        </is>
      </c>
      <c r="F7" t="n">
        <v>0</v>
      </c>
      <c r="G7" t="inlineStr">
        <is>
          <t>L2_REV</t>
        </is>
      </c>
    </row>
    <row r="8">
      <c r="A8" t="inlineStr">
        <is>
          <t>2026_01</t>
        </is>
      </c>
      <c r="B8" t="inlineStr">
        <is>
          <t>jmalberg@cvrx.com</t>
        </is>
      </c>
      <c r="C8" t="inlineStr">
        <is>
          <t>2026_Q1</t>
        </is>
      </c>
      <c r="D8" t="inlineStr">
        <is>
          <t>TM</t>
        </is>
      </c>
      <c r="E8" t="inlineStr">
        <is>
          <t>ACTIVE</t>
        </is>
      </c>
      <c r="F8" t="n">
        <v>0</v>
      </c>
      <c r="G8" t="inlineStr">
        <is>
          <t>L2_PO</t>
        </is>
      </c>
    </row>
    <row r="9">
      <c r="A9" t="inlineStr">
        <is>
          <t>2026_01</t>
        </is>
      </c>
      <c r="B9" t="inlineStr">
        <is>
          <t>jmalberg@cvrx.com</t>
        </is>
      </c>
      <c r="C9" t="inlineStr">
        <is>
          <t>2026_Q1</t>
        </is>
      </c>
      <c r="D9" t="inlineStr">
        <is>
          <t>TM</t>
        </is>
      </c>
      <c r="E9" t="inlineStr">
        <is>
          <t>ACTIVE</t>
        </is>
      </c>
      <c r="F9" t="n">
        <v>500</v>
      </c>
      <c r="G9" t="inlineStr">
        <is>
          <t>CPAS_PO</t>
        </is>
      </c>
    </row>
    <row r="10">
      <c r="A10" t="inlineStr">
        <is>
          <t>2026_01</t>
        </is>
      </c>
      <c r="B10" t="inlineStr">
        <is>
          <t>jmalberg@cvrx.com</t>
        </is>
      </c>
      <c r="C10" t="inlineStr">
        <is>
          <t>2026_Q1</t>
        </is>
      </c>
      <c r="D10" t="inlineStr">
        <is>
          <t>TM</t>
        </is>
      </c>
      <c r="E10" t="inlineStr">
        <is>
          <t>ACTIVE</t>
        </is>
      </c>
      <c r="F10" t="n">
        <v>0</v>
      </c>
      <c r="G10" t="inlineStr">
        <is>
          <t>IMPLANT_ACCEL_TRUE_UP</t>
        </is>
      </c>
    </row>
    <row r="11">
      <c r="A11" t="inlineStr">
        <is>
          <t>2026_01</t>
        </is>
      </c>
      <c r="B11" t="inlineStr">
        <is>
          <t>jmalberg@cvrx.com</t>
        </is>
      </c>
      <c r="C11" t="inlineStr">
        <is>
          <t>2026_Q1</t>
        </is>
      </c>
      <c r="D11" t="inlineStr">
        <is>
          <t>TM</t>
        </is>
      </c>
      <c r="E11" t="inlineStr">
        <is>
          <t>ACTIVE</t>
        </is>
      </c>
      <c r="F11" t="n">
        <v>0</v>
      </c>
      <c r="G11" t="inlineStr">
        <is>
          <t>PROGRAM_ACCEL_PO</t>
        </is>
      </c>
    </row>
    <row r="12">
      <c r="A12" t="inlineStr">
        <is>
          <t>2026_01</t>
        </is>
      </c>
      <c r="B12" t="inlineStr">
        <is>
          <t>jmalberg@cvrx.com</t>
        </is>
      </c>
      <c r="C12" t="inlineStr">
        <is>
          <t>2026_Q1</t>
        </is>
      </c>
      <c r="D12" t="inlineStr">
        <is>
          <t>TM</t>
        </is>
      </c>
      <c r="E12" t="inlineStr">
        <is>
          <t>ACTIVE</t>
        </is>
      </c>
      <c r="F12" t="n">
        <v>18950</v>
      </c>
      <c r="G12" t="inlineStr">
        <is>
          <t>TTL_PO</t>
        </is>
      </c>
    </row>
    <row r="13">
      <c r="A13" t="inlineStr">
        <is>
          <t>2026_01</t>
        </is>
      </c>
      <c r="B13" t="inlineStr">
        <is>
          <t>jmalberg@cvrx.com</t>
        </is>
      </c>
      <c r="C13" t="inlineStr">
        <is>
          <t>2026_Q1</t>
        </is>
      </c>
      <c r="D13" t="inlineStr">
        <is>
          <t>TM</t>
        </is>
      </c>
      <c r="E13" t="inlineStr">
        <is>
          <t>ACTIVE</t>
        </is>
      </c>
      <c r="F13" t="n">
        <v>0</v>
      </c>
      <c r="G13" t="inlineStr">
        <is>
          <t>GUR_AMT</t>
        </is>
      </c>
    </row>
    <row r="14">
      <c r="A14" t="inlineStr">
        <is>
          <t>2026_01</t>
        </is>
      </c>
      <c r="B14" t="inlineStr">
        <is>
          <t>jmalberg@cvrx.com</t>
        </is>
      </c>
      <c r="C14" t="inlineStr">
        <is>
          <t>2026_Q1</t>
        </is>
      </c>
      <c r="D14" t="inlineStr">
        <is>
          <t>TM</t>
        </is>
      </c>
      <c r="E14" t="inlineStr">
        <is>
          <t>ACTIVE</t>
        </is>
      </c>
      <c r="F14" t="n">
        <v>18950</v>
      </c>
      <c r="G14" t="inlineStr">
        <is>
          <t>PO_AMT</t>
        </is>
      </c>
    </row>
    <row r="15">
      <c r="A15" t="inlineStr">
        <is>
          <t>2026_01</t>
        </is>
      </c>
      <c r="B15" t="inlineStr">
        <is>
          <t>jmalberg@cvrx.com</t>
        </is>
      </c>
      <c r="C15" t="inlineStr">
        <is>
          <t>2026_Q1</t>
        </is>
      </c>
      <c r="D15" t="inlineStr">
        <is>
          <t>TM</t>
        </is>
      </c>
      <c r="E15" t="inlineStr">
        <is>
          <t>ACTIVE</t>
        </is>
      </c>
      <c r="F15" t="n">
        <v>4</v>
      </c>
      <c r="G15" t="inlineStr">
        <is>
          <t>IMPLANT_UNITS</t>
        </is>
      </c>
    </row>
    <row r="16">
      <c r="A16" t="inlineStr">
        <is>
          <t>2026_01</t>
        </is>
      </c>
      <c r="B16" t="inlineStr">
        <is>
          <t>jmalberg@cvrx.com</t>
        </is>
      </c>
      <c r="C16" t="inlineStr">
        <is>
          <t>2026_Q1</t>
        </is>
      </c>
      <c r="D16" t="inlineStr">
        <is>
          <t>TM</t>
        </is>
      </c>
      <c r="E16" t="inlineStr">
        <is>
          <t>ACTIVE</t>
        </is>
      </c>
      <c r="F16" t="n">
        <v>4</v>
      </c>
      <c r="G16" t="inlineStr">
        <is>
          <t>REVENUE_UNITS</t>
        </is>
      </c>
    </row>
    <row r="17">
      <c r="A17" t="inlineStr">
        <is>
          <t>2026_01</t>
        </is>
      </c>
      <c r="B17" t="inlineStr">
        <is>
          <t>jmalberg@cvrx.com</t>
        </is>
      </c>
      <c r="C17" t="inlineStr">
        <is>
          <t>2026_Q1</t>
        </is>
      </c>
      <c r="D17" t="inlineStr">
        <is>
          <t>TM</t>
        </is>
      </c>
      <c r="E17" t="inlineStr">
        <is>
          <t>ACTIVE</t>
        </is>
      </c>
      <c r="F17" t="n">
        <v>123000</v>
      </c>
      <c r="G17" t="inlineStr">
        <is>
          <t>QTD_SALES</t>
        </is>
      </c>
    </row>
    <row r="18">
      <c r="A18" t="inlineStr">
        <is>
          <t>2026_01</t>
        </is>
      </c>
      <c r="B18" t="inlineStr">
        <is>
          <t>jmalberg@cvrx.com</t>
        </is>
      </c>
      <c r="C18" t="inlineStr">
        <is>
          <t>2026_Q1</t>
        </is>
      </c>
      <c r="D18" t="inlineStr">
        <is>
          <t>TM</t>
        </is>
      </c>
      <c r="E18" t="inlineStr">
        <is>
          <t>ACTIVE</t>
        </is>
      </c>
      <c r="F18" t="n">
        <v>1</v>
      </c>
      <c r="G18" t="inlineStr">
        <is>
          <t>QTD_IMPL_REV_RATIO</t>
        </is>
      </c>
    </row>
    <row r="19">
      <c r="A19" t="inlineStr">
        <is>
          <t>2026_01</t>
        </is>
      </c>
      <c r="B19" t="inlineStr">
        <is>
          <t>jmalberg@cvrx.com</t>
        </is>
      </c>
      <c r="C19" t="inlineStr">
        <is>
          <t>2026_Q1</t>
        </is>
      </c>
      <c r="D19" t="inlineStr">
        <is>
          <t>TM</t>
        </is>
      </c>
      <c r="E19" t="inlineStr">
        <is>
          <t>ACTIVE</t>
        </is>
      </c>
      <c r="F19" t="n">
        <v>18950</v>
      </c>
      <c r="G19" t="inlineStr">
        <is>
          <t>YTD_PO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B8"/>
  <sheetViews>
    <sheetView workbookViewId="0">
      <selection activeCell="B6" sqref="B6"/>
    </sheetView>
  </sheetViews>
  <sheetFormatPr baseColWidth="8" defaultRowHeight="15"/>
  <cols>
    <col width="19.5703125" customWidth="1" min="1" max="1"/>
    <col width="23.7109375" bestFit="1" customWidth="1" min="2" max="2"/>
  </cols>
  <sheetData>
    <row r="1">
      <c r="A1" t="inlineStr">
        <is>
          <t>Name:</t>
        </is>
      </c>
      <c r="B1" t="inlineStr">
        <is>
          <t>Jennifer Malberg</t>
        </is>
      </c>
    </row>
    <row r="2">
      <c r="A2" t="inlineStr">
        <is>
          <t>Email:</t>
        </is>
      </c>
      <c r="B2" t="inlineStr">
        <is>
          <t>jmalberg@cvrx.com</t>
        </is>
      </c>
    </row>
    <row r="3">
      <c r="A3" t="inlineStr">
        <is>
          <t>ASD:</t>
        </is>
      </c>
      <c r="B3" t="inlineStr">
        <is>
          <t>mbrown@cvrx.com</t>
        </is>
      </c>
    </row>
    <row r="4">
      <c r="A4" t="inlineStr">
        <is>
          <t>Territory:</t>
        </is>
      </c>
      <c r="B4" t="inlineStr">
        <is>
          <t>NORTH CALIFORNIA (MALBERG)</t>
        </is>
      </c>
    </row>
    <row r="5">
      <c r="A5" t="inlineStr">
        <is>
          <t>Role:</t>
        </is>
      </c>
      <c r="B5" t="inlineStr">
        <is>
          <t>Territory Manager</t>
        </is>
      </c>
    </row>
    <row r="6">
      <c r="A6" t="inlineStr">
        <is>
          <t>Month:</t>
        </is>
      </c>
      <c r="B6" t="inlineStr">
        <is>
          <t>January</t>
        </is>
      </c>
    </row>
    <row r="7">
      <c r="A7" t="inlineStr">
        <is>
          <t>Threshold:</t>
        </is>
      </c>
      <c r="B7" t="n">
        <v>170362.5</v>
      </c>
    </row>
    <row r="8">
      <c r="A8" t="inlineStr">
        <is>
          <t>Plan:</t>
        </is>
      </c>
      <c r="B8" t="n">
        <v>245322</v>
      </c>
    </row>
    <row r="21" ht="15.95" customHeight="1"/>
    <row r="22" ht="15.95" customHeight="1"/>
    <row r="23" ht="3.95" customHeight="1"/>
    <row r="24" ht="3.9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SALES_CREDIT_REP_EMAIL</t>
        </is>
      </c>
      <c r="B1" t="inlineStr">
        <is>
          <t>NAME_REP</t>
        </is>
      </c>
      <c r="C1" t="inlineStr">
        <is>
          <t>COVERAGE_TYPE</t>
        </is>
      </c>
      <c r="D1" t="inlineStr">
        <is>
          <t>REP_TERR_ID</t>
        </is>
      </c>
      <c r="E1" t="inlineStr">
        <is>
          <t>ZIP_TERR_ID</t>
        </is>
      </c>
      <c r="F1" t="inlineStr">
        <is>
          <t>DE_FACTO_TERR_ID</t>
        </is>
      </c>
      <c r="G1" t="inlineStr">
        <is>
          <t>REGION_NM</t>
        </is>
      </c>
      <c r="H1" t="inlineStr">
        <is>
          <t>REGION_ID</t>
        </is>
      </c>
      <c r="I1" t="inlineStr">
        <is>
          <t>CLOSEDATE</t>
        </is>
      </c>
      <c r="J1" t="inlineStr">
        <is>
          <t>CLOSE_YYYYMM</t>
        </is>
      </c>
      <c r="K1" t="inlineStr">
        <is>
          <t>CLOSE_YYYYQQ</t>
        </is>
      </c>
      <c r="L1" t="inlineStr">
        <is>
          <t>IMPLANTED_DT</t>
        </is>
      </c>
      <c r="M1" t="inlineStr">
        <is>
          <t>IMPLANTED_YYYYMM</t>
        </is>
      </c>
      <c r="N1" t="inlineStr">
        <is>
          <t>IMPLANTED_YYYYQQ</t>
        </is>
      </c>
      <c r="O1" t="inlineStr">
        <is>
          <t>DHC_IDN_NAME__C</t>
        </is>
      </c>
      <c r="P1" t="inlineStr">
        <is>
          <t>ACCOUNT_INDICATION__C</t>
        </is>
      </c>
      <c r="Q1" t="inlineStr">
        <is>
          <t>ACT_ID</t>
        </is>
      </c>
      <c r="R1" t="inlineStr">
        <is>
          <t>OPP_NAME</t>
        </is>
      </c>
      <c r="S1" t="inlineStr">
        <is>
          <t>OPP_ID</t>
        </is>
      </c>
      <c r="T1" t="inlineStr">
        <is>
          <t>OPP_OWNER_EMAIL</t>
        </is>
      </c>
      <c r="U1" t="inlineStr">
        <is>
          <t>PHYSICIAN</t>
        </is>
      </c>
      <c r="V1" t="inlineStr">
        <is>
          <t>PHYSICIAN_ID</t>
        </is>
      </c>
      <c r="W1" t="inlineStr">
        <is>
          <t>INDICATION_FOR_USE__C</t>
        </is>
      </c>
      <c r="X1" t="inlineStr">
        <is>
          <t>REASON_FOR_IMPLANT__C</t>
        </is>
      </c>
      <c r="Y1" t="inlineStr">
        <is>
          <t>STAGENAME</t>
        </is>
      </c>
      <c r="Z1" t="inlineStr">
        <is>
          <t>ISIMPL</t>
        </is>
      </c>
      <c r="AA1" t="inlineStr">
        <is>
          <t>IMPLANT_UNITS</t>
        </is>
      </c>
      <c r="AB1" t="inlineStr">
        <is>
          <t>IMPLANT_UNITS_FOR_RATIO</t>
        </is>
      </c>
      <c r="AC1" t="inlineStr">
        <is>
          <t>REVENUE_UNITS</t>
        </is>
      </c>
      <c r="AD1" t="inlineStr">
        <is>
          <t>REV_UNITS_FOR_RATIO</t>
        </is>
      </c>
      <c r="AE1" t="inlineStr">
        <is>
          <t>SALES</t>
        </is>
      </c>
      <c r="AF1" t="inlineStr">
        <is>
          <t>SALES_COMMISSIONABLE</t>
        </is>
      </c>
      <c r="AG1" t="inlineStr">
        <is>
          <t>REBATE?</t>
        </is>
      </c>
      <c r="AH1" t="inlineStr">
        <is>
          <t>ASP</t>
        </is>
      </c>
      <c r="AI1" t="inlineStr">
        <is>
          <t>THRESHOLD</t>
        </is>
      </c>
      <c r="AJ1" t="inlineStr">
        <is>
          <t>PLAN</t>
        </is>
      </c>
      <c r="AK1" t="inlineStr">
        <is>
          <t>QTD_SALES_COMISSIONABLE</t>
        </is>
      </c>
      <c r="AL1" t="inlineStr">
        <is>
          <t>QTD_IMPLANT_UNITS</t>
        </is>
      </c>
      <c r="AM1" t="inlineStr">
        <is>
          <t>QTD_REVENUE_UNITS</t>
        </is>
      </c>
      <c r="AN1" t="inlineStr">
        <is>
          <t>ATM_EMAIL</t>
        </is>
      </c>
      <c r="AO1" t="inlineStr">
        <is>
          <t>ATM_ACCOUNT_REVENUE</t>
        </is>
      </c>
      <c r="AP1" t="inlineStr">
        <is>
          <t>L1_REV</t>
        </is>
      </c>
      <c r="AQ1" t="inlineStr">
        <is>
          <t>L2_REV</t>
        </is>
      </c>
      <c r="AR1" t="inlineStr">
        <is>
          <t>QTD_IMPL_REV_RATIO</t>
        </is>
      </c>
      <c r="AS1" t="inlineStr">
        <is>
          <t>ATM_ACCOUNT_PO</t>
        </is>
      </c>
      <c r="AT1" t="inlineStr">
        <is>
          <t>L1_PO</t>
        </is>
      </c>
      <c r="AU1" t="inlineStr">
        <is>
          <t>L2_PO</t>
        </is>
      </c>
    </row>
    <row r="2">
      <c r="A2" t="inlineStr">
        <is>
          <t>jmalberg@cvrx.com</t>
        </is>
      </c>
      <c r="B2" t="inlineStr">
        <is>
          <t>Jennifer Malberg</t>
        </is>
      </c>
      <c r="C2" t="inlineStr">
        <is>
          <t>Normal</t>
        </is>
      </c>
      <c r="D2" t="inlineStr">
        <is>
          <t>TERR_37</t>
        </is>
      </c>
      <c r="E2" t="inlineStr">
        <is>
          <t>TERR_37</t>
        </is>
      </c>
      <c r="F2" t="inlineStr">
        <is>
          <t>TERR_37</t>
        </is>
      </c>
      <c r="G2" t="inlineStr">
        <is>
          <t>PACIFIC</t>
        </is>
      </c>
      <c r="H2" t="inlineStr">
        <is>
          <t>RE_07</t>
        </is>
      </c>
      <c r="I2" s="52" t="n">
        <v>46048</v>
      </c>
      <c r="J2" t="inlineStr">
        <is>
          <t>2026_01</t>
        </is>
      </c>
      <c r="K2" t="inlineStr">
        <is>
          <t>2026_Q1</t>
        </is>
      </c>
      <c r="M2" t="inlineStr">
        <is>
          <t>2026_01</t>
        </is>
      </c>
      <c r="N2" t="inlineStr">
        <is>
          <t>2026_Q1</t>
        </is>
      </c>
      <c r="O2" t="inlineStr">
        <is>
          <t>University of California Health (AKA UC Health-CA)</t>
        </is>
      </c>
      <c r="P2" t="inlineStr">
        <is>
          <t>Ucsf Medical Center</t>
        </is>
      </c>
      <c r="Q2" t="inlineStr">
        <is>
          <t>0014u00001pyZlqAAE</t>
        </is>
      </c>
      <c r="R2" t="inlineStr">
        <is>
          <t>CVR314 028890</t>
        </is>
      </c>
      <c r="S2" t="inlineStr">
        <is>
          <t>006UY00000U3JknYAF</t>
        </is>
      </c>
      <c r="T2" t="inlineStr">
        <is>
          <t>jmalberg@cvrx.com</t>
        </is>
      </c>
      <c r="W2" t="inlineStr">
        <is>
          <t>Heart Failure - Reduced Ejection Fraction</t>
        </is>
      </c>
      <c r="X2" t="inlineStr">
        <is>
          <t>De novo</t>
        </is>
      </c>
      <c r="Y2" t="inlineStr">
        <is>
          <t>Revenue Recognized</t>
        </is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31500</v>
      </c>
      <c r="AF2" t="n">
        <v>31500</v>
      </c>
      <c r="AG2" t="n">
        <v>1</v>
      </c>
      <c r="AH2" t="n">
        <v>31500</v>
      </c>
      <c r="AI2" t="n">
        <v>170362.5</v>
      </c>
      <c r="AJ2" t="n">
        <v>245322</v>
      </c>
      <c r="AK2" t="n">
        <v>31500</v>
      </c>
      <c r="AL2" t="n">
        <v>2</v>
      </c>
      <c r="AM2" t="n">
        <v>1</v>
      </c>
      <c r="AO2" t="n">
        <v>0</v>
      </c>
      <c r="AP2" t="n">
        <v>31500</v>
      </c>
      <c r="AQ2" t="n">
        <v>0</v>
      </c>
      <c r="AR2" t="n">
        <v>2</v>
      </c>
      <c r="AS2" t="n">
        <v>0</v>
      </c>
      <c r="AT2" t="n">
        <v>4725</v>
      </c>
      <c r="AU2" t="n">
        <v>0</v>
      </c>
    </row>
    <row r="3">
      <c r="A3" t="inlineStr">
        <is>
          <t>jmalberg@cvrx.com</t>
        </is>
      </c>
      <c r="B3" t="inlineStr">
        <is>
          <t>Jennifer Malberg</t>
        </is>
      </c>
      <c r="C3" t="inlineStr">
        <is>
          <t>Normal</t>
        </is>
      </c>
      <c r="D3" t="inlineStr">
        <is>
          <t>TERR_37</t>
        </is>
      </c>
      <c r="E3" t="inlineStr">
        <is>
          <t>TERR_37</t>
        </is>
      </c>
      <c r="F3" t="inlineStr">
        <is>
          <t>TERR_37</t>
        </is>
      </c>
      <c r="G3" t="inlineStr">
        <is>
          <t>PACIFIC</t>
        </is>
      </c>
      <c r="H3" t="inlineStr">
        <is>
          <t>RE_07</t>
        </is>
      </c>
      <c r="I3" s="52" t="n">
        <v>46048</v>
      </c>
      <c r="J3" t="inlineStr">
        <is>
          <t>2026_01</t>
        </is>
      </c>
      <c r="K3" t="inlineStr">
        <is>
          <t>2026_Q1</t>
        </is>
      </c>
      <c r="M3" t="inlineStr">
        <is>
          <t>2026_01</t>
        </is>
      </c>
      <c r="N3" t="inlineStr">
        <is>
          <t>2026_Q1</t>
        </is>
      </c>
      <c r="O3" t="inlineStr">
        <is>
          <t>University of California Health (AKA UC Health-CA)</t>
        </is>
      </c>
      <c r="P3" t="inlineStr">
        <is>
          <t>Ucsf Medical Center</t>
        </is>
      </c>
      <c r="Q3" t="inlineStr">
        <is>
          <t>0014u00001pyZlqAAE</t>
        </is>
      </c>
      <c r="R3" t="inlineStr">
        <is>
          <t>CVR314 029551</t>
        </is>
      </c>
      <c r="S3" t="inlineStr">
        <is>
          <t>006UY00000VfcIoYAJ</t>
        </is>
      </c>
      <c r="T3" t="inlineStr">
        <is>
          <t>jmalberg@cvrx.com</t>
        </is>
      </c>
      <c r="W3" t="inlineStr">
        <is>
          <t>Heart Failure - Reduced Ejection Fraction</t>
        </is>
      </c>
      <c r="X3" t="inlineStr">
        <is>
          <t>De novo</t>
        </is>
      </c>
      <c r="Y3" t="inlineStr">
        <is>
          <t>Revenue Recognized</t>
        </is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31500</v>
      </c>
      <c r="AF3" t="n">
        <v>31500</v>
      </c>
      <c r="AG3" t="n">
        <v>1</v>
      </c>
      <c r="AH3" t="n">
        <v>31500</v>
      </c>
      <c r="AI3" t="n">
        <v>170362.5</v>
      </c>
      <c r="AJ3" t="n">
        <v>245322</v>
      </c>
      <c r="AK3" t="n">
        <v>63000</v>
      </c>
      <c r="AL3" t="n">
        <v>2</v>
      </c>
      <c r="AM3" t="n">
        <v>2</v>
      </c>
      <c r="AO3" t="n">
        <v>0</v>
      </c>
      <c r="AP3" t="n">
        <v>31500</v>
      </c>
      <c r="AQ3" t="n">
        <v>0</v>
      </c>
      <c r="AR3" t="n">
        <v>1</v>
      </c>
      <c r="AS3" t="n">
        <v>0</v>
      </c>
      <c r="AT3" t="n">
        <v>4725</v>
      </c>
      <c r="AU3" t="n">
        <v>0</v>
      </c>
    </row>
    <row r="4">
      <c r="A4" t="inlineStr">
        <is>
          <t>jmalberg@cvrx.com</t>
        </is>
      </c>
      <c r="B4" t="inlineStr">
        <is>
          <t>Jennifer Malberg</t>
        </is>
      </c>
      <c r="C4" t="inlineStr">
        <is>
          <t>Normal</t>
        </is>
      </c>
      <c r="D4" t="inlineStr">
        <is>
          <t>TERR_37</t>
        </is>
      </c>
      <c r="E4" t="inlineStr">
        <is>
          <t>TERR_37</t>
        </is>
      </c>
      <c r="F4" t="inlineStr">
        <is>
          <t>TERR_37</t>
        </is>
      </c>
      <c r="G4" t="inlineStr">
        <is>
          <t>PACIFIC</t>
        </is>
      </c>
      <c r="H4" t="inlineStr">
        <is>
          <t>RE_07</t>
        </is>
      </c>
      <c r="I4" s="52" t="n">
        <v>46053</v>
      </c>
      <c r="J4" t="inlineStr">
        <is>
          <t>2026_01</t>
        </is>
      </c>
      <c r="K4" t="inlineStr">
        <is>
          <t>2026_Q1</t>
        </is>
      </c>
      <c r="M4" t="inlineStr">
        <is>
          <t>2026_02</t>
        </is>
      </c>
      <c r="N4" t="inlineStr">
        <is>
          <t>2026_Q1</t>
        </is>
      </c>
      <c r="O4" t="inlineStr">
        <is>
          <t>Kaweah Health (FKA Kaweah Delta Health Care District)</t>
        </is>
      </c>
      <c r="P4" t="inlineStr">
        <is>
          <t>Kaweah Delta Medical Center</t>
        </is>
      </c>
      <c r="Q4" t="inlineStr">
        <is>
          <t>0014u00001s9EpwAAE</t>
        </is>
      </c>
      <c r="R4" t="inlineStr">
        <is>
          <t>CRX305 029860</t>
        </is>
      </c>
      <c r="S4" t="inlineStr">
        <is>
          <t>006UY00000WRIhZYAX</t>
        </is>
      </c>
      <c r="T4" t="inlineStr">
        <is>
          <t>jmalberg@cvrx.com</t>
        </is>
      </c>
      <c r="W4" t="inlineStr">
        <is>
          <t>Heart Failure - Reduced Ejection Fraction</t>
        </is>
      </c>
      <c r="X4" t="inlineStr">
        <is>
          <t>De novo</t>
        </is>
      </c>
      <c r="Y4" t="inlineStr">
        <is>
          <t>Revenue Recognized</t>
        </is>
      </c>
      <c r="Z4" t="n">
        <v>0</v>
      </c>
      <c r="AA4" t="n">
        <v>0</v>
      </c>
      <c r="AB4" t="n">
        <v>0</v>
      </c>
      <c r="AC4" t="n">
        <v>2</v>
      </c>
      <c r="AD4" t="n">
        <v>2</v>
      </c>
      <c r="AE4" t="n">
        <v>60000</v>
      </c>
      <c r="AF4" t="n">
        <v>60000</v>
      </c>
      <c r="AG4" t="n">
        <v>0</v>
      </c>
      <c r="AH4" t="n">
        <v>30000</v>
      </c>
      <c r="AI4" t="n">
        <v>170362.5</v>
      </c>
      <c r="AJ4" t="n">
        <v>245322</v>
      </c>
      <c r="AK4" t="n">
        <v>123000</v>
      </c>
      <c r="AL4" t="n">
        <v>4</v>
      </c>
      <c r="AM4" t="n">
        <v>4</v>
      </c>
      <c r="AN4" t="inlineStr">
        <is>
          <t>brummonds@cvrx.com</t>
        </is>
      </c>
      <c r="AO4" t="n">
        <v>60000</v>
      </c>
      <c r="AP4" t="n">
        <v>0</v>
      </c>
      <c r="AQ4" t="n">
        <v>0</v>
      </c>
      <c r="AR4" t="n">
        <v>1</v>
      </c>
      <c r="AS4" t="n">
        <v>9000</v>
      </c>
      <c r="AT4" t="n">
        <v>0</v>
      </c>
      <c r="A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Alan Sorensen</dc:creator>
  <dcterms:created xsi:type="dcterms:W3CDTF">2015-06-05T18:17:20Z</dcterms:created>
  <dcterms:modified xsi:type="dcterms:W3CDTF">2026-02-13T18:38:26Z</dcterms:modified>
  <cp:lastModifiedBy>Alan Sorensen</cp:lastModifiedBy>
  <cp:lastPrinted>2024-06-20T17:27:12Z</cp:lastPrinted>
</cp:coreProperties>
</file>