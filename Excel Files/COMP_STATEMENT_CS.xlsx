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orensen\PycharmProjects\comp_statements\Excel Files\"/>
    </mc:Choice>
  </mc:AlternateContent>
  <xr:revisionPtr revIDLastSave="0" documentId="13_ncr:1_{3217128C-AEDF-45FE-858E-65D605D0C52E}" xr6:coauthVersionLast="47" xr6:coauthVersionMax="47" xr10:uidLastSave="{00000000-0000-0000-0000-000000000000}"/>
  <bookViews>
    <workbookView xWindow="51480" yWindow="3555" windowWidth="29040" windowHeight="15720" xr2:uid="{00000000-000D-0000-FFFF-FFFF00000000}"/>
  </bookViews>
  <sheets>
    <sheet name="STATEMENT" sheetId="1" r:id="rId1"/>
    <sheet name="payout" sheetId="2" r:id="rId2"/>
    <sheet name="info" sheetId="3" r:id="rId3"/>
    <sheet name="detai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G57" i="1"/>
  <c r="F57" i="1"/>
  <c r="D57" i="1"/>
  <c r="B57" i="1"/>
  <c r="G56" i="1"/>
  <c r="F56" i="1"/>
  <c r="D56" i="1"/>
  <c r="B56" i="1"/>
  <c r="G55" i="1"/>
  <c r="F55" i="1"/>
  <c r="D55" i="1"/>
  <c r="B55" i="1"/>
  <c r="G54" i="1"/>
  <c r="F54" i="1"/>
  <c r="D54" i="1"/>
  <c r="B54" i="1"/>
  <c r="G53" i="1"/>
  <c r="F53" i="1"/>
  <c r="D53" i="1"/>
  <c r="B53" i="1"/>
  <c r="G52" i="1"/>
  <c r="F52" i="1"/>
  <c r="D52" i="1"/>
  <c r="B52" i="1"/>
  <c r="G51" i="1"/>
  <c r="F51" i="1"/>
  <c r="D51" i="1"/>
  <c r="B51" i="1"/>
  <c r="G50" i="1"/>
  <c r="F50" i="1"/>
  <c r="D50" i="1"/>
  <c r="B50" i="1"/>
  <c r="G49" i="1"/>
  <c r="F49" i="1"/>
  <c r="D49" i="1"/>
  <c r="B49" i="1"/>
  <c r="G48" i="1"/>
  <c r="F48" i="1"/>
  <c r="D48" i="1"/>
  <c r="B48" i="1"/>
  <c r="G47" i="1"/>
  <c r="F47" i="1"/>
  <c r="D47" i="1"/>
  <c r="B47" i="1"/>
  <c r="G46" i="1"/>
  <c r="F46" i="1"/>
  <c r="D46" i="1"/>
  <c r="B46" i="1"/>
  <c r="G45" i="1"/>
  <c r="F45" i="1"/>
  <c r="D45" i="1"/>
  <c r="B45" i="1"/>
  <c r="G44" i="1"/>
  <c r="F44" i="1"/>
  <c r="D44" i="1"/>
  <c r="B44" i="1"/>
  <c r="G43" i="1"/>
  <c r="F43" i="1"/>
  <c r="D43" i="1"/>
  <c r="B43" i="1"/>
  <c r="G42" i="1"/>
  <c r="F42" i="1"/>
  <c r="D42" i="1"/>
  <c r="B42" i="1"/>
  <c r="G41" i="1"/>
  <c r="F41" i="1"/>
  <c r="D41" i="1"/>
  <c r="B41" i="1"/>
  <c r="G40" i="1"/>
  <c r="F40" i="1"/>
  <c r="D40" i="1"/>
  <c r="B40" i="1"/>
  <c r="G39" i="1"/>
  <c r="F39" i="1"/>
  <c r="D39" i="1"/>
  <c r="B39" i="1"/>
  <c r="G38" i="1"/>
  <c r="F38" i="1"/>
  <c r="D38" i="1"/>
  <c r="B38" i="1"/>
  <c r="G37" i="1"/>
  <c r="F37" i="1"/>
  <c r="D37" i="1"/>
  <c r="B37" i="1"/>
  <c r="G36" i="1"/>
  <c r="F36" i="1"/>
  <c r="D36" i="1"/>
  <c r="B36" i="1"/>
  <c r="G35" i="1"/>
  <c r="F35" i="1"/>
  <c r="D35" i="1"/>
  <c r="B35" i="1"/>
  <c r="G34" i="1"/>
  <c r="F34" i="1"/>
  <c r="D34" i="1"/>
  <c r="B34" i="1"/>
  <c r="G33" i="1"/>
  <c r="F33" i="1"/>
  <c r="D33" i="1"/>
  <c r="B33" i="1"/>
  <c r="G32" i="1"/>
  <c r="F32" i="1"/>
  <c r="D32" i="1"/>
  <c r="B32" i="1"/>
  <c r="G31" i="1"/>
  <c r="F31" i="1"/>
  <c r="D31" i="1"/>
  <c r="B31" i="1"/>
  <c r="G30" i="1"/>
  <c r="F30" i="1"/>
  <c r="D30" i="1"/>
  <c r="B30" i="1"/>
  <c r="G29" i="1"/>
  <c r="F29" i="1"/>
  <c r="D29" i="1"/>
  <c r="B29" i="1"/>
  <c r="G28" i="1"/>
  <c r="F28" i="1"/>
  <c r="D28" i="1"/>
  <c r="B28" i="1"/>
  <c r="G27" i="1"/>
  <c r="F27" i="1"/>
  <c r="D27" i="1"/>
  <c r="B27" i="1"/>
  <c r="G26" i="1"/>
  <c r="F26" i="1"/>
  <c r="D26" i="1"/>
  <c r="B26" i="1"/>
  <c r="G25" i="1"/>
  <c r="F25" i="1"/>
  <c r="D25" i="1"/>
  <c r="B25" i="1"/>
  <c r="G24" i="1"/>
  <c r="F24" i="1"/>
  <c r="D24" i="1"/>
  <c r="B24" i="1"/>
  <c r="G23" i="1"/>
  <c r="F23" i="1"/>
  <c r="D23" i="1"/>
  <c r="B23" i="1"/>
  <c r="G22" i="1"/>
  <c r="F22" i="1"/>
  <c r="D22" i="1"/>
  <c r="B22" i="1"/>
  <c r="G17" i="1"/>
  <c r="G16" i="1"/>
  <c r="D16" i="1" s="1"/>
  <c r="G15" i="1"/>
  <c r="D15" i="1" s="1"/>
  <c r="G14" i="1"/>
  <c r="D14" i="1" s="1"/>
  <c r="G13" i="1"/>
  <c r="G12" i="1" s="1"/>
  <c r="C12" i="1"/>
  <c r="G11" i="1"/>
  <c r="C11" i="1"/>
  <c r="G10" i="1"/>
  <c r="C10" i="1"/>
  <c r="B6" i="1"/>
  <c r="B4" i="1"/>
</calcChain>
</file>

<file path=xl/sharedStrings.xml><?xml version="1.0" encoding="utf-8"?>
<sst xmlns="http://schemas.openxmlformats.org/spreadsheetml/2006/main" count="429" uniqueCount="171">
  <si>
    <t xml:space="preserve">CVRx US Sales Incentive Compensation Statement </t>
  </si>
  <si>
    <t>Clinical Specialist</t>
  </si>
  <si>
    <t>Sales Performance</t>
  </si>
  <si>
    <t>Final Payment</t>
  </si>
  <si>
    <t>YTD Region Sales</t>
  </si>
  <si>
    <t>FY Territory SI Target</t>
  </si>
  <si>
    <t>FY Plan</t>
  </si>
  <si>
    <t>FY Territory SI Earned</t>
  </si>
  <si>
    <t>% to FY Plan</t>
  </si>
  <si>
    <t>Less Prior Paid</t>
  </si>
  <si>
    <t>Region Payout</t>
  </si>
  <si>
    <t>Target Payout</t>
  </si>
  <si>
    <t>Guarantee Adjustment</t>
  </si>
  <si>
    <t>Other Adjustments</t>
  </si>
  <si>
    <t>Final Payout</t>
  </si>
  <si>
    <t xml:space="preserve">Opportunity Detail </t>
  </si>
  <si>
    <t>Account</t>
  </si>
  <si>
    <t>Opp Name</t>
  </si>
  <si>
    <t>Sales</t>
  </si>
  <si>
    <t>Rev Units</t>
  </si>
  <si>
    <t>An * denotes a targeted payout</t>
  </si>
  <si>
    <t>YYYYMM</t>
  </si>
  <si>
    <t>EID</t>
  </si>
  <si>
    <t>YYYYQQ</t>
  </si>
  <si>
    <t>ROLE</t>
  </si>
  <si>
    <t>STATUS</t>
  </si>
  <si>
    <t>VALUE</t>
  </si>
  <si>
    <t>CATEGORY</t>
  </si>
  <si>
    <t>Notes</t>
  </si>
  <si>
    <t>2025_08</t>
  </si>
  <si>
    <t>zcolon@cvrx.com</t>
  </si>
  <si>
    <t>2025_Q3</t>
  </si>
  <si>
    <t>CS</t>
  </si>
  <si>
    <t>ACTIVE</t>
  </si>
  <si>
    <t>YTD_REGIONAL_PO</t>
  </si>
  <si>
    <t>SALES</t>
  </si>
  <si>
    <t>REGIONAL_PO</t>
  </si>
  <si>
    <t>PO_AMT</t>
  </si>
  <si>
    <t>YTD_SALES</t>
  </si>
  <si>
    <t>%_FY_PLAN</t>
  </si>
  <si>
    <t>YTD_PO</t>
  </si>
  <si>
    <t>Name:</t>
  </si>
  <si>
    <t>Zilma Colon</t>
  </si>
  <si>
    <t>Email:</t>
  </si>
  <si>
    <t>RM:</t>
  </si>
  <si>
    <t>cdavenport@cvrx.com</t>
  </si>
  <si>
    <t>Territory:</t>
  </si>
  <si>
    <t>FLORIDA (COLON)</t>
  </si>
  <si>
    <t>Role:</t>
  </si>
  <si>
    <t>Clinical Sales Representative</t>
  </si>
  <si>
    <t>Base Bonus:</t>
  </si>
  <si>
    <t>Month:</t>
  </si>
  <si>
    <t>August</t>
  </si>
  <si>
    <t>Quota:</t>
  </si>
  <si>
    <t>SALES_CREDIT_CS_EMAIL</t>
  </si>
  <si>
    <t>NAME_REP</t>
  </si>
  <si>
    <t>REGION_NM</t>
  </si>
  <si>
    <t>REGION_ID</t>
  </si>
  <si>
    <t>CLOSEDATE</t>
  </si>
  <si>
    <t>CLOSE_YYYYMM</t>
  </si>
  <si>
    <t>CLOSE_YYYYQQ</t>
  </si>
  <si>
    <t>IMPLANTED_DT</t>
  </si>
  <si>
    <t>IMPLANTED_YYYYMM</t>
  </si>
  <si>
    <t>IMPLANTED_YYYYQQ</t>
  </si>
  <si>
    <t>ACCOUNT_INDICATION__C</t>
  </si>
  <si>
    <t>ACT_ID</t>
  </si>
  <si>
    <t>OPP_NAME</t>
  </si>
  <si>
    <t>OPP_ID</t>
  </si>
  <si>
    <t>PHYSICIAN</t>
  </si>
  <si>
    <t>PHYSICIAN_ID</t>
  </si>
  <si>
    <t>SALES_COMMISSIONABLE</t>
  </si>
  <si>
    <t>YTD_SALES_COMMISSIONABLE</t>
  </si>
  <si>
    <t>REG_ALIGN_ELIGIBLE?</t>
  </si>
  <si>
    <t>IMPLANT_UNITS</t>
  </si>
  <si>
    <t>REVENUE_UNITS</t>
  </si>
  <si>
    <t>REASON_FOR_IMPLANT__C</t>
  </si>
  <si>
    <t>STAGENAME</t>
  </si>
  <si>
    <t>TGT_PO</t>
  </si>
  <si>
    <t>PO_%</t>
  </si>
  <si>
    <t>TGT_TYPE</t>
  </si>
  <si>
    <t>PO_TYPE</t>
  </si>
  <si>
    <t>TGT_PO_YYYYMM</t>
  </si>
  <si>
    <t>RN</t>
  </si>
  <si>
    <t>FLORIDA (DAVENPORT)</t>
  </si>
  <si>
    <t>RE_06</t>
  </si>
  <si>
    <t>2025_07</t>
  </si>
  <si>
    <t>Adventhealth Zephyrhills</t>
  </si>
  <si>
    <t>0014u00001pyTz0AAE</t>
  </si>
  <si>
    <t>CRX832 025912</t>
  </si>
  <si>
    <t>006UY00000MX8LaYAL</t>
  </si>
  <si>
    <t>Vladimir Curkovic</t>
  </si>
  <si>
    <t>0034u00002ar9S8AAI</t>
  </si>
  <si>
    <t>De novo</t>
  </si>
  <si>
    <t>Revenue Recognized</t>
  </si>
  <si>
    <t>Baptist Pensacola Hospital</t>
  </si>
  <si>
    <t>0014u00001pyTz7AAE</t>
  </si>
  <si>
    <t>CRX839 026557</t>
  </si>
  <si>
    <t>006UY00000Ns1GQYAZ</t>
  </si>
  <si>
    <t>Adventhealth Orlando</t>
  </si>
  <si>
    <t>0017000001LsiQyAAJ</t>
  </si>
  <si>
    <t>AHOrl 026680</t>
  </si>
  <si>
    <t>006UY00000O8XFWYA3</t>
  </si>
  <si>
    <t>Osceola Regional Medical Center</t>
  </si>
  <si>
    <t>0014u00001s9Et1AAE</t>
  </si>
  <si>
    <t>CRX486 025636</t>
  </si>
  <si>
    <t>006UY00000M44GTYAZ</t>
  </si>
  <si>
    <t>Dianne Zullow</t>
  </si>
  <si>
    <t>0034u00002ar9nTAAQ</t>
  </si>
  <si>
    <t>Westside Regional Medical Center</t>
  </si>
  <si>
    <t>0014u00001s9EwrAAE</t>
  </si>
  <si>
    <t>WRMC724 025461</t>
  </si>
  <si>
    <t>006UY00000LhdhxYAB</t>
  </si>
  <si>
    <t>David Kenigsberg</t>
  </si>
  <si>
    <t>0034u00002ZgbHrAAJ</t>
  </si>
  <si>
    <t>Jupiter Medical Center</t>
  </si>
  <si>
    <t>0014u00001pydEnAAI</t>
  </si>
  <si>
    <t>CVR480 026287</t>
  </si>
  <si>
    <t>006UY00000NKw4DYAT</t>
  </si>
  <si>
    <t>Duccio Baldari</t>
  </si>
  <si>
    <t>0034u00002Zgb8tAAB</t>
  </si>
  <si>
    <t>CRX839 026879</t>
  </si>
  <si>
    <t>006UY00000Ob2rRYAR</t>
  </si>
  <si>
    <t>Adventhealth Daytona Beach</t>
  </si>
  <si>
    <t>0010g00001jmQApAAM</t>
  </si>
  <si>
    <t>AHDB 026795</t>
  </si>
  <si>
    <t>006UY00000OPoLbYAL</t>
  </si>
  <si>
    <t>David Henderson</t>
  </si>
  <si>
    <t>0034u00002ZgAyFAAV</t>
  </si>
  <si>
    <t>Replacement</t>
  </si>
  <si>
    <t>AHOrl 026976</t>
  </si>
  <si>
    <t>006UY00000OlhgQYAR</t>
  </si>
  <si>
    <t>AHOrl 026978</t>
  </si>
  <si>
    <t>006UY00000OmvkYYAR</t>
  </si>
  <si>
    <t>James A Haley Veterans Hospital</t>
  </si>
  <si>
    <t>0014u00001v5DwSAAU</t>
  </si>
  <si>
    <t>VA 68 024751</t>
  </si>
  <si>
    <t>006UY00000KPgweYAD</t>
  </si>
  <si>
    <t>Ramona Gelzer-Bell</t>
  </si>
  <si>
    <t>0034u00002uHNrJAAW</t>
  </si>
  <si>
    <t>Manatee Memorial Hospital Lp</t>
  </si>
  <si>
    <t>0014u00001nCHq9AAG</t>
  </si>
  <si>
    <t>ManMemMC 026927</t>
  </si>
  <si>
    <t>006UY00000OgSi1YAF</t>
  </si>
  <si>
    <t>Uf Health Jacksonville</t>
  </si>
  <si>
    <t>0010g00001jmQ7bAAE</t>
  </si>
  <si>
    <t>UFJAX 027034</t>
  </si>
  <si>
    <t>006UY00000OudfCYAR</t>
  </si>
  <si>
    <t>AHOrl 027031</t>
  </si>
  <si>
    <t>006UY00000OuRhHYAV</t>
  </si>
  <si>
    <t>Sarasota Memorial Health Care System</t>
  </si>
  <si>
    <t>0014u00001nCHqOAAW</t>
  </si>
  <si>
    <t>SMH 026926</t>
  </si>
  <si>
    <t>006UY00000OgOZaYAN</t>
  </si>
  <si>
    <t>CRX486 025817</t>
  </si>
  <si>
    <t>006UY00000MIbMDYA1</t>
  </si>
  <si>
    <t>Patrick Mathias</t>
  </si>
  <si>
    <t>0034u00002XvrzVAAR</t>
  </si>
  <si>
    <t>AHOrl 027071</t>
  </si>
  <si>
    <t>006UY00000Oyc2zYAB</t>
  </si>
  <si>
    <t>AHOrl 027083</t>
  </si>
  <si>
    <t>006UY00000P2YtfYAF</t>
  </si>
  <si>
    <t>VA 68 026946</t>
  </si>
  <si>
    <t>006UY00000OhFfXYAV</t>
  </si>
  <si>
    <t>Lee Memorial Hs- Cape Coral Hosp</t>
  </si>
  <si>
    <t>0014u00001wnLVDAA2</t>
  </si>
  <si>
    <t>CCH 026452</t>
  </si>
  <si>
    <t>006UY00000Ne7FJYAZ</t>
  </si>
  <si>
    <t>Eliot Hoffman</t>
  </si>
  <si>
    <t>0034u00002W8W6fAAF</t>
  </si>
  <si>
    <t>VA 68 024502</t>
  </si>
  <si>
    <t>006UY00000JvzztYAB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</si>
</sst>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yyyy\-mm\-dd\ hh:mm:ss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E3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auto="1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3" xfId="0" applyFont="1" applyBorder="1"/>
    <xf numFmtId="164" fontId="2" fillId="0" borderId="4" xfId="0" applyNumberFormat="1" applyFont="1" applyBorder="1" applyAlignment="1">
      <alignment horizontal="center"/>
    </xf>
    <xf numFmtId="0" fontId="5" fillId="0" borderId="0" xfId="0" applyFont="1"/>
    <xf numFmtId="164" fontId="2" fillId="0" borderId="7" xfId="0" applyNumberFormat="1" applyFont="1" applyBorder="1" applyAlignment="1">
      <alignment horizontal="center"/>
    </xf>
    <xf numFmtId="164" fontId="3" fillId="3" borderId="9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2" fillId="0" borderId="5" xfId="1" applyNumberFormat="1" applyFont="1" applyBorder="1" applyAlignment="1">
      <alignment horizontal="center"/>
    </xf>
    <xf numFmtId="0" fontId="3" fillId="0" borderId="13" xfId="0" applyFont="1" applyBorder="1"/>
    <xf numFmtId="164" fontId="2" fillId="0" borderId="14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2" fillId="0" borderId="21" xfId="1" applyNumberFormat="1" applyFont="1" applyBorder="1" applyAlignment="1">
      <alignment horizontal="center"/>
    </xf>
    <xf numFmtId="165" fontId="2" fillId="0" borderId="4" xfId="2" applyNumberFormat="1" applyFont="1" applyBorder="1" applyAlignment="1">
      <alignment horizontal="center"/>
    </xf>
    <xf numFmtId="10" fontId="2" fillId="0" borderId="22" xfId="2" applyNumberFormat="1" applyFont="1" applyBorder="1" applyAlignment="1">
      <alignment horizontal="center"/>
    </xf>
    <xf numFmtId="165" fontId="2" fillId="0" borderId="7" xfId="1" applyNumberFormat="1" applyFont="1" applyBorder="1" applyAlignment="1">
      <alignment horizontal="center"/>
    </xf>
    <xf numFmtId="166" fontId="0" fillId="0" borderId="0" xfId="0" applyNumberFormat="1"/>
    <xf numFmtId="0" fontId="3" fillId="0" borderId="17" xfId="0" applyFont="1" applyBorder="1"/>
    <xf numFmtId="165" fontId="2" fillId="0" borderId="7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 vertical="top"/>
    </xf>
    <xf numFmtId="0" fontId="2" fillId="0" borderId="5" xfId="0" applyFont="1" applyBorder="1" applyAlignment="1">
      <alignment horizontal="left"/>
    </xf>
    <xf numFmtId="0" fontId="0" fillId="0" borderId="6" xfId="0" applyBorder="1"/>
    <xf numFmtId="0" fontId="2" fillId="0" borderId="5" xfId="0" applyFont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0" fillId="0" borderId="18" xfId="0" applyBorder="1"/>
    <xf numFmtId="0" fontId="3" fillId="0" borderId="3" xfId="0" applyFont="1" applyBorder="1" applyAlignment="1">
      <alignment horizontal="left" wrapText="1"/>
    </xf>
    <xf numFmtId="0" fontId="3" fillId="0" borderId="12" xfId="0" applyFont="1" applyBorder="1" applyAlignment="1">
      <alignment horizontal="left"/>
    </xf>
    <xf numFmtId="0" fontId="0" fillId="0" borderId="8" xfId="0" applyBorder="1"/>
    <xf numFmtId="0" fontId="4" fillId="2" borderId="1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3" fillId="0" borderId="15" xfId="0" applyFont="1" applyBorder="1" applyAlignment="1">
      <alignment horizontal="left" wrapText="1"/>
    </xf>
    <xf numFmtId="0" fontId="0" fillId="0" borderId="16" xfId="0" applyBorder="1"/>
    <xf numFmtId="0" fontId="3" fillId="0" borderId="3" xfId="0" applyFont="1" applyBorder="1" applyAlignment="1">
      <alignment horizontal="left"/>
    </xf>
    <xf numFmtId="0" fontId="3" fillId="0" borderId="12" xfId="0" applyFont="1" applyBorder="1"/>
    <xf numFmtId="0" fontId="4" fillId="2" borderId="5" xfId="0" applyFont="1" applyFill="1" applyBorder="1" applyAlignment="1">
      <alignment horizontal="center" vertical="center"/>
    </xf>
    <xf numFmtId="0" fontId="0" fillId="0" borderId="10" xfId="0" applyBorder="1"/>
    <xf numFmtId="0" fontId="3" fillId="0" borderId="19" xfId="0" applyFont="1" applyBorder="1"/>
    <xf numFmtId="0" fontId="0" fillId="0" borderId="20" xfId="0" applyBorder="1"/>
  </cellXfs>
  <cellStyles count="3">
    <cellStyle name="Currency" xfId="1" builtinId="4"/>
    <cellStyle name="Normal" xfId="0" builtinId="0"/>
    <cellStyle name="Percent" xfId="2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1104900</xdr:colOff>
      <xdr:row>1</xdr:row>
      <xdr:rowOff>104775</xdr:rowOff>
    </xdr:from>
    <xdr:to>
      <xdr:col>6</xdr:col>
      <xdr:colOff>934308</xdr:colOff>
      <xdr:row>3</xdr:row>
      <xdr:rowOff>170953</xdr:rowOff>
    </xdr:to>
    <xdr:pic>
      <xdr:nvPicPr>
        <xdr:cNvPr id="3" name="Picture 2" descr="A picture containing text, sign, dark&#10;&#10;Description automatically generate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4425" y="304800"/>
          <a:ext cx="938118" cy="32716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8"/>
  <sheetViews>
    <sheetView tabSelected="1" view="pageBreakPreview" zoomScale="105" zoomScaleNormal="100" workbookViewId="0">
      <selection activeCell="C6" sqref="C6"/>
    </sheetView>
  </sheetViews>
  <sheetFormatPr defaultRowHeight="15.75" x14ac:dyDescent="0.25"/>
  <cols>
    <col min="1" max="1" width="0.7109375" style="1" customWidth="1"/>
    <col min="2" max="2" width="25.85546875" style="1" customWidth="1"/>
    <col min="3" max="3" width="13.85546875" style="1" customWidth="1"/>
    <col min="4" max="4" width="11.85546875" style="1" customWidth="1"/>
    <col min="5" max="5" width="10.28515625" style="1" customWidth="1"/>
    <col min="6" max="6" width="13.7109375" style="1" customWidth="1"/>
    <col min="7" max="7" width="14.7109375" style="1" customWidth="1"/>
  </cols>
  <sheetData>
    <row r="1" spans="1:7" ht="4.1500000000000004" customHeight="1" x14ac:dyDescent="0.25"/>
    <row r="2" spans="1:7" x14ac:dyDescent="0.25">
      <c r="B2" s="2" t="s">
        <v>0</v>
      </c>
    </row>
    <row r="3" spans="1:7" ht="4.1500000000000004" customHeight="1" x14ac:dyDescent="0.25"/>
    <row r="4" spans="1:7" x14ac:dyDescent="0.25">
      <c r="B4" s="2" t="str">
        <f>info!B1</f>
        <v>Zilma Colon</v>
      </c>
    </row>
    <row r="5" spans="1:7" x14ac:dyDescent="0.25">
      <c r="B5" s="2" t="s">
        <v>1</v>
      </c>
    </row>
    <row r="6" spans="1:7" x14ac:dyDescent="0.25">
      <c r="B6" s="2" t="str">
        <f>info!B7 &amp; " 2025"</f>
        <v>August 2025</v>
      </c>
      <c r="C6" s="6" t="str">
        <f>_xlfn.CONCAT(TEXT(B6, "YYYY"), "_", TEXT(B6, "MM"))</f>
        <v>2025_08</v>
      </c>
    </row>
    <row r="7" spans="1:7" ht="4.1500000000000004" customHeight="1" x14ac:dyDescent="0.25"/>
    <row r="8" spans="1:7" ht="4.1500000000000004" customHeight="1" thickBot="1" x14ac:dyDescent="0.3"/>
    <row r="9" spans="1:7" x14ac:dyDescent="0.25">
      <c r="B9" s="32" t="s">
        <v>2</v>
      </c>
      <c r="C9" s="34"/>
      <c r="D9" s="3"/>
      <c r="E9" s="32" t="s">
        <v>3</v>
      </c>
      <c r="F9" s="33"/>
      <c r="G9" s="34"/>
    </row>
    <row r="10" spans="1:7" ht="16.5" customHeight="1" thickBot="1" x14ac:dyDescent="0.3">
      <c r="B10" s="4" t="s">
        <v>4</v>
      </c>
      <c r="C10" s="16">
        <f>_xlfn.IFNA(_xlfn.XLOOKUP("YTD_SALES", payout!$G:$G, payout!$F:$F), 0)</f>
        <v>6544298.1500000004</v>
      </c>
      <c r="E10" s="38" t="s">
        <v>5</v>
      </c>
      <c r="F10" s="31"/>
      <c r="G10" s="18">
        <f>info!B6</f>
        <v>23340</v>
      </c>
    </row>
    <row r="11" spans="1:7" ht="16.5" customHeight="1" thickTop="1" thickBot="1" x14ac:dyDescent="0.3">
      <c r="A11" s="6"/>
      <c r="B11" s="20" t="s">
        <v>6</v>
      </c>
      <c r="C11" s="21">
        <f>info!B8</f>
        <v>10686111.9882</v>
      </c>
      <c r="E11" s="41" t="s">
        <v>7</v>
      </c>
      <c r="F11" s="42"/>
      <c r="G11" s="15">
        <f>(_xlfn.XLOOKUP("YTD_REGIONAL_PO",payout!G:G,payout!F:F))</f>
        <v>14271.1</v>
      </c>
    </row>
    <row r="12" spans="1:7" ht="17.25" customHeight="1" thickTop="1" thickBot="1" x14ac:dyDescent="0.3">
      <c r="B12" s="12" t="s">
        <v>8</v>
      </c>
      <c r="C12" s="17">
        <f>C10/C11</f>
        <v>0.61241152602803117</v>
      </c>
      <c r="E12" s="27" t="s">
        <v>9</v>
      </c>
      <c r="F12" s="28"/>
      <c r="G12" s="14">
        <f>G11-G13</f>
        <v>12197.150000000001</v>
      </c>
    </row>
    <row r="13" spans="1:7" ht="16.5" customHeight="1" thickTop="1" x14ac:dyDescent="0.25">
      <c r="E13" s="35" t="s">
        <v>10</v>
      </c>
      <c r="F13" s="36"/>
      <c r="G13" s="13">
        <f>IFERROR(_xlfn.XLOOKUP("REGIONAL_PO", payout!G:G,payout!F:F), 0)</f>
        <v>2073.9499999999998</v>
      </c>
    </row>
    <row r="14" spans="1:7" ht="16.5" customHeight="1" x14ac:dyDescent="0.25">
      <c r="D14" s="6">
        <f>IF(G14&gt;0, 1, 0)</f>
        <v>0</v>
      </c>
      <c r="E14" s="29" t="s">
        <v>11</v>
      </c>
      <c r="F14" s="24"/>
      <c r="G14" s="13">
        <f>IFERROR(_xlfn.XLOOKUP("TGT_PO", payout!G:G,payout!F:F), 0)</f>
        <v>0</v>
      </c>
    </row>
    <row r="15" spans="1:7" x14ac:dyDescent="0.25">
      <c r="D15" s="6">
        <f>IF(G15&gt;0, 1, 0)</f>
        <v>0</v>
      </c>
      <c r="E15" s="37" t="s">
        <v>12</v>
      </c>
      <c r="F15" s="24"/>
      <c r="G15" s="5">
        <f>IFERROR(_xlfn.XLOOKUP("GUR_AMT",payout!G:G,payout!F:F), 0)</f>
        <v>0</v>
      </c>
    </row>
    <row r="16" spans="1:7" ht="16.5" customHeight="1" thickBot="1" x14ac:dyDescent="0.3">
      <c r="D16" s="6">
        <f>IF(G16&gt;0, 1, 0)</f>
        <v>0</v>
      </c>
      <c r="E16" s="30" t="s">
        <v>13</v>
      </c>
      <c r="F16" s="31"/>
      <c r="G16" s="7">
        <f>IFERROR(_xlfn.XLOOKUP("ADJUSTMENTS", payout!G:G,payout!F:F), 0)</f>
        <v>0</v>
      </c>
    </row>
    <row r="17" spans="2:7" ht="17.25" customHeight="1" thickTop="1" thickBot="1" x14ac:dyDescent="0.3">
      <c r="E17" s="27" t="s">
        <v>14</v>
      </c>
      <c r="F17" s="28"/>
      <c r="G17" s="8">
        <f>_xlfn.XLOOKUP("PO_AMT", payout!G:G,payout!F:F)</f>
        <v>2073.9499999999998</v>
      </c>
    </row>
    <row r="18" spans="2:7" ht="16.5" customHeight="1" thickTop="1" x14ac:dyDescent="0.25"/>
    <row r="20" spans="2:7" x14ac:dyDescent="0.25">
      <c r="B20" s="39" t="s">
        <v>15</v>
      </c>
      <c r="C20" s="40"/>
      <c r="D20" s="40"/>
      <c r="E20" s="40"/>
      <c r="F20" s="40"/>
      <c r="G20" s="24"/>
    </row>
    <row r="21" spans="2:7" x14ac:dyDescent="0.25">
      <c r="B21" s="26" t="s">
        <v>16</v>
      </c>
      <c r="C21" s="24"/>
      <c r="D21" s="26" t="s">
        <v>17</v>
      </c>
      <c r="E21" s="24"/>
      <c r="F21" s="9" t="s">
        <v>18</v>
      </c>
      <c r="G21" s="9" t="s">
        <v>19</v>
      </c>
    </row>
    <row r="22" spans="2:7" x14ac:dyDescent="0.25">
      <c r="B22" s="23" t="str">
        <f>IF(LEN(detail!K2)&lt;1,"",detail!K2)</f>
        <v>Adventhealth Zephyrhills</v>
      </c>
      <c r="C22" s="24"/>
      <c r="D22" s="25" t="str">
        <f>IF(LEN(detail!M2)&lt;1,"",detail!M2) &amp; IF(detail!Y2&lt;&gt;0, "*", "")</f>
        <v>CRX832 025912</v>
      </c>
      <c r="E22" s="24"/>
      <c r="F22" s="11">
        <f>IF(LEN(detail!R2)&lt;1,"",IF(detail!X2 &lt;&gt; "Revenue Recognized", 0, detail!R2))</f>
        <v>28001.25</v>
      </c>
      <c r="G22" s="10">
        <f>IF(LEN(detail!V2)&lt;1,"",detail!V2)</f>
        <v>1</v>
      </c>
    </row>
    <row r="23" spans="2:7" x14ac:dyDescent="0.25">
      <c r="B23" s="23" t="str">
        <f>IF(LEN(detail!K3)&lt;1,"",detail!K3)</f>
        <v>Baptist Pensacola Hospital</v>
      </c>
      <c r="C23" s="24"/>
      <c r="D23" s="25" t="str">
        <f>IF(LEN(detail!M3)&lt;1,"",detail!M3) &amp; IF(detail!Y3&lt;&gt;0, "*", "")</f>
        <v>CRX839 026557</v>
      </c>
      <c r="E23" s="24"/>
      <c r="F23" s="11">
        <f>IF(LEN(detail!R3)&lt;1,"",IF(detail!X3 &lt;&gt; "Revenue Recognized", 0, detail!R3))</f>
        <v>99000</v>
      </c>
      <c r="G23" s="10">
        <f>IF(LEN(detail!V3)&lt;1,"",detail!V3)</f>
        <v>3</v>
      </c>
    </row>
    <row r="24" spans="2:7" x14ac:dyDescent="0.25">
      <c r="B24" s="23" t="str">
        <f>IF(LEN(detail!K4)&lt;1,"",detail!K4)</f>
        <v>Adventhealth Orlando</v>
      </c>
      <c r="C24" s="24"/>
      <c r="D24" s="25" t="str">
        <f>IF(LEN(detail!M4)&lt;1,"",detail!M4) &amp; IF(detail!Y4&lt;&gt;0, "*", "")</f>
        <v>AHOrl 026680</v>
      </c>
      <c r="E24" s="24"/>
      <c r="F24" s="11">
        <f>IF(LEN(detail!R4)&lt;1,"",IF(detail!X4 &lt;&gt; "Revenue Recognized", 0, detail!R4))</f>
        <v>28001.25</v>
      </c>
      <c r="G24" s="10">
        <f>IF(LEN(detail!V4)&lt;1,"",detail!V4)</f>
        <v>1</v>
      </c>
    </row>
    <row r="25" spans="2:7" x14ac:dyDescent="0.25">
      <c r="B25" s="23" t="str">
        <f>IF(LEN(detail!K5)&lt;1,"",detail!K5)</f>
        <v>Osceola Regional Medical Center</v>
      </c>
      <c r="C25" s="24"/>
      <c r="D25" s="25" t="str">
        <f>IF(LEN(detail!M5)&lt;1,"",detail!M5) &amp; IF(detail!Y5&lt;&gt;0, "*", "")</f>
        <v>CRX486 025636</v>
      </c>
      <c r="E25" s="24"/>
      <c r="F25" s="11">
        <f>IF(LEN(detail!R5)&lt;1,"",IF(detail!X5 &lt;&gt; "Revenue Recognized", 0, detail!R5))</f>
        <v>28676.13636363636</v>
      </c>
      <c r="G25" s="10">
        <f>IF(LEN(detail!V5)&lt;1,"",detail!V5)</f>
        <v>0</v>
      </c>
    </row>
    <row r="26" spans="2:7" x14ac:dyDescent="0.25">
      <c r="B26" s="23" t="str">
        <f>IF(LEN(detail!K6)&lt;1,"",detail!K6)</f>
        <v>Westside Regional Medical Center</v>
      </c>
      <c r="C26" s="24"/>
      <c r="D26" s="25" t="str">
        <f>IF(LEN(detail!M6)&lt;1,"",detail!M6) &amp; IF(detail!Y6&lt;&gt;0, "*", "")</f>
        <v>WRMC724 025461</v>
      </c>
      <c r="E26" s="24"/>
      <c r="F26" s="11">
        <f>IF(LEN(detail!R6)&lt;1,"",IF(detail!X6 &lt;&gt; "Revenue Recognized", 0, detail!R6))</f>
        <v>28676.13636363636</v>
      </c>
      <c r="G26" s="10">
        <f>IF(LEN(detail!V6)&lt;1,"",detail!V6)</f>
        <v>0</v>
      </c>
    </row>
    <row r="27" spans="2:7" x14ac:dyDescent="0.25">
      <c r="B27" s="23" t="str">
        <f>IF(LEN(detail!K7)&lt;1,"",detail!K7)</f>
        <v>Jupiter Medical Center</v>
      </c>
      <c r="C27" s="24"/>
      <c r="D27" s="25" t="str">
        <f>IF(LEN(detail!M7)&lt;1,"",detail!M7) &amp; IF(detail!Y7&lt;&gt;0, "*", "")</f>
        <v>CVR480 026287</v>
      </c>
      <c r="E27" s="24"/>
      <c r="F27" s="11">
        <f>IF(LEN(detail!R7)&lt;1,"",IF(detail!X7 &lt;&gt; "Revenue Recognized", 0, detail!R7))</f>
        <v>31500</v>
      </c>
      <c r="G27" s="10">
        <f>IF(LEN(detail!V7)&lt;1,"",detail!V7)</f>
        <v>1</v>
      </c>
    </row>
    <row r="28" spans="2:7" x14ac:dyDescent="0.25">
      <c r="B28" s="23" t="str">
        <f>IF(LEN(detail!K8)&lt;1,"",detail!K8)</f>
        <v>Baptist Pensacola Hospital</v>
      </c>
      <c r="C28" s="24"/>
      <c r="D28" s="25" t="str">
        <f>IF(LEN(detail!M8)&lt;1,"",detail!M8) &amp; IF(detail!Y8&lt;&gt;0, "*", "")</f>
        <v>CRX839 026879</v>
      </c>
      <c r="E28" s="24"/>
      <c r="F28" s="11">
        <f>IF(LEN(detail!R8)&lt;1,"",IF(detail!X8 &lt;&gt; "Revenue Recognized", 0, detail!R8))</f>
        <v>99000</v>
      </c>
      <c r="G28" s="10">
        <f>IF(LEN(detail!V8)&lt;1,"",detail!V8)</f>
        <v>3</v>
      </c>
    </row>
    <row r="29" spans="2:7" x14ac:dyDescent="0.25">
      <c r="B29" s="23" t="str">
        <f>IF(LEN(detail!K9)&lt;1,"",detail!K9)</f>
        <v>Adventhealth Daytona Beach</v>
      </c>
      <c r="C29" s="24"/>
      <c r="D29" s="25" t="str">
        <f>IF(LEN(detail!M9)&lt;1,"",detail!M9) &amp; IF(detail!Y9&lt;&gt;0, "*", "")</f>
        <v>AHDB 026795</v>
      </c>
      <c r="E29" s="24"/>
      <c r="F29" s="11">
        <f>IF(LEN(detail!R9)&lt;1,"",IF(detail!X9 &lt;&gt; "Revenue Recognized", 0, detail!R9))</f>
        <v>27510</v>
      </c>
      <c r="G29" s="10">
        <f>IF(LEN(detail!V9)&lt;1,"",detail!V9)</f>
        <v>1</v>
      </c>
    </row>
    <row r="30" spans="2:7" x14ac:dyDescent="0.25">
      <c r="B30" s="23" t="str">
        <f>IF(LEN(detail!K10)&lt;1,"",detail!K10)</f>
        <v>Adventhealth Orlando</v>
      </c>
      <c r="C30" s="24"/>
      <c r="D30" s="25" t="str">
        <f>IF(LEN(detail!M10)&lt;1,"",detail!M10) &amp; IF(detail!Y10&lt;&gt;0, "*", "")</f>
        <v>AHOrl 026976</v>
      </c>
      <c r="E30" s="24"/>
      <c r="F30" s="11">
        <f>IF(LEN(detail!R10)&lt;1,"",IF(detail!X10 &lt;&gt; "Revenue Recognized", 0, detail!R10))</f>
        <v>28001.25</v>
      </c>
      <c r="G30" s="10">
        <f>IF(LEN(detail!V10)&lt;1,"",detail!V10)</f>
        <v>1</v>
      </c>
    </row>
    <row r="31" spans="2:7" x14ac:dyDescent="0.25">
      <c r="B31" s="23" t="str">
        <f>IF(LEN(detail!K11)&lt;1,"",detail!K11)</f>
        <v>Adventhealth Orlando</v>
      </c>
      <c r="C31" s="24"/>
      <c r="D31" s="25" t="str">
        <f>IF(LEN(detail!M11)&lt;1,"",detail!M11) &amp; IF(detail!Y11&lt;&gt;0, "*", "")</f>
        <v>AHOrl 026978</v>
      </c>
      <c r="E31" s="24"/>
      <c r="F31" s="11">
        <f>IF(LEN(detail!R11)&lt;1,"",IF(detail!X11 &lt;&gt; "Revenue Recognized", 0, detail!R11))</f>
        <v>28001.25</v>
      </c>
      <c r="G31" s="10">
        <f>IF(LEN(detail!V11)&lt;1,"",detail!V11)</f>
        <v>1</v>
      </c>
    </row>
    <row r="32" spans="2:7" x14ac:dyDescent="0.25">
      <c r="B32" s="23" t="str">
        <f>IF(LEN(detail!K12)&lt;1,"",detail!K12)</f>
        <v>James A Haley Veterans Hospital</v>
      </c>
      <c r="C32" s="24"/>
      <c r="D32" s="25" t="str">
        <f>IF(LEN(detail!M12)&lt;1,"",detail!M12) &amp; IF(detail!Y12&lt;&gt;0, "*", "")</f>
        <v>VA 68 024751</v>
      </c>
      <c r="E32" s="24"/>
      <c r="F32" s="11">
        <f>IF(LEN(detail!R12)&lt;1,"",IF(detail!X12 &lt;&gt; "Revenue Recognized", 0, detail!R12))</f>
        <v>31833.720930232561</v>
      </c>
      <c r="G32" s="10">
        <f>IF(LEN(detail!V12)&lt;1,"",detail!V12)</f>
        <v>1</v>
      </c>
    </row>
    <row r="33" spans="2:7" x14ac:dyDescent="0.25">
      <c r="B33" s="23" t="str">
        <f>IF(LEN(detail!K13)&lt;1,"",detail!K13)</f>
        <v>Manatee Memorial Hospital Lp</v>
      </c>
      <c r="C33" s="24"/>
      <c r="D33" s="25" t="str">
        <f>IF(LEN(detail!M13)&lt;1,"",detail!M13) &amp; IF(detail!Y13&lt;&gt;0, "*", "")</f>
        <v>ManMemMC 026927</v>
      </c>
      <c r="E33" s="24"/>
      <c r="F33" s="11">
        <f>IF(LEN(detail!R13)&lt;1,"",IF(detail!X13 &lt;&gt; "Revenue Recognized", 0, detail!R13))</f>
        <v>168000</v>
      </c>
      <c r="G33" s="10">
        <f>IF(LEN(detail!V13)&lt;1,"",detail!V13)</f>
        <v>6</v>
      </c>
    </row>
    <row r="34" spans="2:7" x14ac:dyDescent="0.25">
      <c r="B34" s="23" t="str">
        <f>IF(LEN(detail!K14)&lt;1,"",detail!K14)</f>
        <v>Uf Health Jacksonville</v>
      </c>
      <c r="C34" s="24"/>
      <c r="D34" s="25" t="str">
        <f>IF(LEN(detail!M14)&lt;1,"",detail!M14) &amp; IF(detail!Y14&lt;&gt;0, "*", "")</f>
        <v>UFJAX 027034</v>
      </c>
      <c r="E34" s="24"/>
      <c r="F34" s="11">
        <f>IF(LEN(detail!R14)&lt;1,"",IF(detail!X14 &lt;&gt; "Revenue Recognized", 0, detail!R14))</f>
        <v>31500</v>
      </c>
      <c r="G34" s="10">
        <f>IF(LEN(detail!V14)&lt;1,"",detail!V14)</f>
        <v>1</v>
      </c>
    </row>
    <row r="35" spans="2:7" x14ac:dyDescent="0.25">
      <c r="B35" s="23" t="str">
        <f>IF(LEN(detail!K15)&lt;1,"",detail!K15)</f>
        <v>Adventhealth Orlando</v>
      </c>
      <c r="C35" s="24"/>
      <c r="D35" s="25" t="str">
        <f>IF(LEN(detail!M15)&lt;1,"",detail!M15) &amp; IF(detail!Y15&lt;&gt;0, "*", "")</f>
        <v>AHOrl 027031</v>
      </c>
      <c r="E35" s="24"/>
      <c r="F35" s="11">
        <f>IF(LEN(detail!R15)&lt;1,"",IF(detail!X15 &lt;&gt; "Revenue Recognized", 0, detail!R15))</f>
        <v>28001.25</v>
      </c>
      <c r="G35" s="10">
        <f>IF(LEN(detail!V15)&lt;1,"",detail!V15)</f>
        <v>1</v>
      </c>
    </row>
    <row r="36" spans="2:7" x14ac:dyDescent="0.25">
      <c r="B36" s="23" t="str">
        <f>IF(LEN(detail!K16)&lt;1,"",detail!K16)</f>
        <v>Sarasota Memorial Health Care System</v>
      </c>
      <c r="C36" s="24"/>
      <c r="D36" s="25" t="str">
        <f>IF(LEN(detail!M16)&lt;1,"",detail!M16) &amp; IF(detail!Y16&lt;&gt;0, "*", "")</f>
        <v>SMH 026926</v>
      </c>
      <c r="E36" s="24"/>
      <c r="F36" s="11">
        <f>IF(LEN(detail!R16)&lt;1,"",IF(detail!X16 &lt;&gt; "Revenue Recognized", 0, detail!R16))</f>
        <v>84000</v>
      </c>
      <c r="G36" s="10">
        <f>IF(LEN(detail!V16)&lt;1,"",detail!V16)</f>
        <v>3</v>
      </c>
    </row>
    <row r="37" spans="2:7" x14ac:dyDescent="0.25">
      <c r="B37" s="23" t="str">
        <f>IF(LEN(detail!K17)&lt;1,"",detail!K17)</f>
        <v>Osceola Regional Medical Center</v>
      </c>
      <c r="C37" s="24"/>
      <c r="D37" s="25" t="str">
        <f>IF(LEN(detail!M17)&lt;1,"",detail!M17) &amp; IF(detail!Y17&lt;&gt;0, "*", "")</f>
        <v>CRX486 025817</v>
      </c>
      <c r="E37" s="24"/>
      <c r="F37" s="11">
        <f>IF(LEN(detail!R17)&lt;1,"",IF(detail!X17 &lt;&gt; "Revenue Recognized", 0, detail!R17))</f>
        <v>28676.13636363636</v>
      </c>
      <c r="G37" s="10">
        <f>IF(LEN(detail!V17)&lt;1,"",detail!V17)</f>
        <v>0</v>
      </c>
    </row>
    <row r="38" spans="2:7" x14ac:dyDescent="0.25">
      <c r="B38" s="23" t="str">
        <f>IF(LEN(detail!K18)&lt;1,"",detail!K18)</f>
        <v>Adventhealth Orlando</v>
      </c>
      <c r="C38" s="24"/>
      <c r="D38" s="25" t="str">
        <f>IF(LEN(detail!M18)&lt;1,"",detail!M18) &amp; IF(detail!Y18&lt;&gt;0, "*", "")</f>
        <v>AHOrl 027071</v>
      </c>
      <c r="E38" s="24"/>
      <c r="F38" s="11">
        <f>IF(LEN(detail!R18)&lt;1,"",IF(detail!X18 &lt;&gt; "Revenue Recognized", 0, detail!R18))</f>
        <v>28001.25</v>
      </c>
      <c r="G38" s="10">
        <f>IF(LEN(detail!V18)&lt;1,"",detail!V18)</f>
        <v>1</v>
      </c>
    </row>
    <row r="39" spans="2:7" x14ac:dyDescent="0.25">
      <c r="B39" s="23" t="str">
        <f>IF(LEN(detail!K19)&lt;1,"",detail!K19)</f>
        <v>Adventhealth Orlando</v>
      </c>
      <c r="C39" s="24"/>
      <c r="D39" s="25" t="str">
        <f>IF(LEN(detail!M19)&lt;1,"",detail!M19) &amp; IF(detail!Y19&lt;&gt;0, "*", "")</f>
        <v>AHOrl 027083</v>
      </c>
      <c r="E39" s="24"/>
      <c r="F39" s="11">
        <f>IF(LEN(detail!R19)&lt;1,"",IF(detail!X19 &lt;&gt; "Revenue Recognized", 0, detail!R19))</f>
        <v>28001.25</v>
      </c>
      <c r="G39" s="10">
        <f>IF(LEN(detail!V19)&lt;1,"",detail!V19)</f>
        <v>1</v>
      </c>
    </row>
    <row r="40" spans="2:7" x14ac:dyDescent="0.25">
      <c r="B40" s="23" t="str">
        <f>IF(LEN(detail!K20)&lt;1,"",detail!K20)</f>
        <v>James A Haley Veterans Hospital</v>
      </c>
      <c r="C40" s="24"/>
      <c r="D40" s="25" t="str">
        <f>IF(LEN(detail!M20)&lt;1,"",detail!M20) &amp; IF(detail!Y20&lt;&gt;0, "*", "")</f>
        <v>VA 68 026946</v>
      </c>
      <c r="E40" s="24"/>
      <c r="F40" s="11">
        <f>IF(LEN(detail!R20)&lt;1,"",IF(detail!X20 &lt;&gt; "Revenue Recognized", 0, detail!R20))</f>
        <v>31833.720930232561</v>
      </c>
      <c r="G40" s="10">
        <f>IF(LEN(detail!V20)&lt;1,"",detail!V20)</f>
        <v>1</v>
      </c>
    </row>
    <row r="41" spans="2:7" x14ac:dyDescent="0.25">
      <c r="B41" s="23" t="str">
        <f>IF(LEN(detail!K21)&lt;1,"",detail!K21)</f>
        <v>Lee Memorial Hs- Cape Coral Hosp</v>
      </c>
      <c r="C41" s="24"/>
      <c r="D41" s="25" t="str">
        <f>IF(LEN(detail!M21)&lt;1,"",detail!M21) &amp; IF(detail!Y21&lt;&gt;0, "*", "")</f>
        <v>CCH 026452</v>
      </c>
      <c r="E41" s="24"/>
      <c r="F41" s="11">
        <f>IF(LEN(detail!R21)&lt;1,"",IF(detail!X21 &lt;&gt; "Revenue Recognized", 0, detail!R21))</f>
        <v>31500</v>
      </c>
      <c r="G41" s="10">
        <f>IF(LEN(detail!V21)&lt;1,"",detail!V21)</f>
        <v>1</v>
      </c>
    </row>
    <row r="42" spans="2:7" x14ac:dyDescent="0.25">
      <c r="B42" s="23" t="str">
        <f>IF(LEN(detail!K22)&lt;1,"",detail!K22)</f>
        <v>James A Haley Veterans Hospital</v>
      </c>
      <c r="C42" s="24"/>
      <c r="D42" s="25" t="str">
        <f>IF(LEN(detail!M22)&lt;1,"",detail!M22) &amp; IF(detail!Y22&lt;&gt;0, "*", "")</f>
        <v>VA 68 024502</v>
      </c>
      <c r="E42" s="24"/>
      <c r="F42" s="11">
        <f>IF(LEN(detail!R22)&lt;1,"",IF(detail!X22 &lt;&gt; "Revenue Recognized", 0, detail!R22))</f>
        <v>31833.720930232561</v>
      </c>
      <c r="G42" s="10">
        <f>IF(LEN(detail!V22)&lt;1,"",detail!V22)</f>
        <v>1</v>
      </c>
    </row>
    <row r="43" spans="2:7" x14ac:dyDescent="0.25">
      <c r="B43" s="23" t="str">
        <f>IF(LEN(detail!K23)&lt;1,"",detail!K23)</f>
        <v/>
      </c>
      <c r="C43" s="24"/>
      <c r="D43" s="25" t="str">
        <f>IF(LEN(detail!M23)&lt;1,"",detail!M23) &amp; IF(detail!Y23&lt;&gt;0, "*", "")</f>
        <v/>
      </c>
      <c r="E43" s="24"/>
      <c r="F43" s="11" t="str">
        <f>IF(LEN(detail!R23)&lt;1,"",IF(detail!X23 &lt;&gt; "Revenue Recognized", 0, detail!R23))</f>
        <v/>
      </c>
      <c r="G43" s="10" t="str">
        <f>IF(LEN(detail!V23)&lt;1,"",detail!V23)</f>
        <v/>
      </c>
    </row>
    <row r="44" spans="2:7" x14ac:dyDescent="0.25">
      <c r="B44" s="23" t="str">
        <f>IF(LEN(detail!K24)&lt;1,"",detail!K24)</f>
        <v/>
      </c>
      <c r="C44" s="24"/>
      <c r="D44" s="25" t="str">
        <f>IF(LEN(detail!M24)&lt;1,"",detail!M24) &amp; IF(detail!Y24&lt;&gt;0, "*", "")</f>
        <v/>
      </c>
      <c r="E44" s="24"/>
      <c r="F44" s="11" t="str">
        <f>IF(LEN(detail!R24)&lt;1,"",IF(detail!X24 &lt;&gt; "Revenue Recognized", 0, detail!R24))</f>
        <v/>
      </c>
      <c r="G44" s="10" t="str">
        <f>IF(LEN(detail!V24)&lt;1,"",detail!V24)</f>
        <v/>
      </c>
    </row>
    <row r="45" spans="2:7" x14ac:dyDescent="0.25">
      <c r="B45" s="23" t="str">
        <f>IF(LEN(detail!K25)&lt;1,"",detail!K25)</f>
        <v/>
      </c>
      <c r="C45" s="24"/>
      <c r="D45" s="25" t="str">
        <f>IF(LEN(detail!M25)&lt;1,"",detail!M25) &amp; IF(detail!Y25&lt;&gt;0, "*", "")</f>
        <v/>
      </c>
      <c r="E45" s="24"/>
      <c r="F45" s="11" t="str">
        <f>IF(LEN(detail!R25)&lt;1,"",IF(detail!X25 &lt;&gt; "Revenue Recognized", 0, detail!R25))</f>
        <v/>
      </c>
      <c r="G45" s="10" t="str">
        <f>IF(LEN(detail!V25)&lt;1,"",detail!V25)</f>
        <v/>
      </c>
    </row>
    <row r="46" spans="2:7" x14ac:dyDescent="0.25">
      <c r="B46" s="23" t="str">
        <f>IF(LEN(detail!K26)&lt;1,"",detail!K26)</f>
        <v/>
      </c>
      <c r="C46" s="24"/>
      <c r="D46" s="25" t="str">
        <f>IF(LEN(detail!M26)&lt;1,"",detail!M26) &amp; IF(detail!Y26&lt;&gt;0, "*", "")</f>
        <v/>
      </c>
      <c r="E46" s="24"/>
      <c r="F46" s="11" t="str">
        <f>IF(LEN(detail!R26)&lt;1,"",IF(detail!X26 &lt;&gt; "Revenue Recognized", 0, detail!R26))</f>
        <v/>
      </c>
      <c r="G46" s="10" t="str">
        <f>IF(LEN(detail!V26)&lt;1,"",detail!V26)</f>
        <v/>
      </c>
    </row>
    <row r="47" spans="2:7" x14ac:dyDescent="0.25">
      <c r="B47" s="23" t="str">
        <f>IF(LEN(detail!K27)&lt;1,"",detail!K27)</f>
        <v/>
      </c>
      <c r="C47" s="24"/>
      <c r="D47" s="25" t="str">
        <f>IF(LEN(detail!M27)&lt;1,"",detail!M27) &amp; IF(detail!Y27&lt;&gt;0, "*", "")</f>
        <v/>
      </c>
      <c r="E47" s="24"/>
      <c r="F47" s="11" t="str">
        <f>IF(LEN(detail!R27)&lt;1,"",IF(detail!X27 &lt;&gt; "Revenue Recognized", 0, detail!R27))</f>
        <v/>
      </c>
      <c r="G47" s="10" t="str">
        <f>IF(LEN(detail!V27)&lt;1,"",detail!V27)</f>
        <v/>
      </c>
    </row>
    <row r="48" spans="2:7" x14ac:dyDescent="0.25">
      <c r="B48" s="23" t="str">
        <f>IF(LEN(detail!K28)&lt;1,"",detail!K28)</f>
        <v/>
      </c>
      <c r="C48" s="24"/>
      <c r="D48" s="25" t="str">
        <f>IF(LEN(detail!M28)&lt;1,"",detail!M28) &amp; IF(detail!Y28&lt;&gt;0, "*", "")</f>
        <v/>
      </c>
      <c r="E48" s="24"/>
      <c r="F48" s="11" t="str">
        <f>IF(LEN(detail!R28)&lt;1,"",IF(detail!X28 &lt;&gt; "Revenue Recognized", 0, detail!R28))</f>
        <v/>
      </c>
      <c r="G48" s="10" t="str">
        <f>IF(LEN(detail!V28)&lt;1,"",detail!V28)</f>
        <v/>
      </c>
    </row>
    <row r="49" spans="2:7" x14ac:dyDescent="0.25">
      <c r="B49" s="23" t="str">
        <f>IF(LEN(detail!K29)&lt;1,"",detail!K29)</f>
        <v/>
      </c>
      <c r="C49" s="24"/>
      <c r="D49" s="25" t="str">
        <f>IF(LEN(detail!M29)&lt;1,"",detail!M29) &amp; IF(detail!Y29&lt;&gt;0, "*", "")</f>
        <v/>
      </c>
      <c r="E49" s="24"/>
      <c r="F49" s="11" t="str">
        <f>IF(LEN(detail!R29)&lt;1,"",IF(detail!X29 &lt;&gt; "Revenue Recognized", 0, detail!R29))</f>
        <v/>
      </c>
      <c r="G49" s="10" t="str">
        <f>IF(LEN(detail!V29)&lt;1,"",detail!V29)</f>
        <v/>
      </c>
    </row>
    <row r="50" spans="2:7" x14ac:dyDescent="0.25">
      <c r="B50" s="23" t="str">
        <f>IF(LEN(detail!K30)&lt;1,"",detail!K30)</f>
        <v/>
      </c>
      <c r="C50" s="24"/>
      <c r="D50" s="25" t="str">
        <f>IF(LEN(detail!M30)&lt;1,"",detail!M30) &amp; IF(detail!Y30&lt;&gt;0, "*", "")</f>
        <v/>
      </c>
      <c r="E50" s="24"/>
      <c r="F50" s="11" t="str">
        <f>IF(LEN(detail!R30)&lt;1,"",IF(detail!X30 &lt;&gt; "Revenue Recognized", 0, detail!R30))</f>
        <v/>
      </c>
      <c r="G50" s="10" t="str">
        <f>IF(LEN(detail!V30)&lt;1,"",detail!V30)</f>
        <v/>
      </c>
    </row>
    <row r="51" spans="2:7" x14ac:dyDescent="0.25">
      <c r="B51" s="23" t="str">
        <f>IF(LEN(detail!K31)&lt;1,"",detail!K31)</f>
        <v/>
      </c>
      <c r="C51" s="24"/>
      <c r="D51" s="25" t="str">
        <f>IF(LEN(detail!M31)&lt;1,"",detail!M31) &amp; IF(detail!Y31&lt;&gt;0, "*", "")</f>
        <v/>
      </c>
      <c r="E51" s="24"/>
      <c r="F51" s="11" t="str">
        <f>IF(LEN(detail!R31)&lt;1,"",IF(detail!X31 &lt;&gt; "Revenue Recognized", 0, detail!R31))</f>
        <v/>
      </c>
      <c r="G51" s="10" t="str">
        <f>IF(LEN(detail!V31)&lt;1,"",detail!V31)</f>
        <v/>
      </c>
    </row>
    <row r="52" spans="2:7" x14ac:dyDescent="0.25">
      <c r="B52" s="23" t="str">
        <f>IF(LEN(detail!K32)&lt;1,"",detail!K32)</f>
        <v/>
      </c>
      <c r="C52" s="24"/>
      <c r="D52" s="25" t="str">
        <f>IF(LEN(detail!M32)&lt;1,"",detail!M32) &amp; IF(detail!Y32&lt;&gt;0, "*", "")</f>
        <v/>
      </c>
      <c r="E52" s="24"/>
      <c r="F52" s="11" t="str">
        <f>IF(LEN(detail!R32)&lt;1,"",IF(detail!X32 &lt;&gt; "Revenue Recognized", 0, detail!R32))</f>
        <v/>
      </c>
      <c r="G52" s="10" t="str">
        <f>IF(LEN(detail!V32)&lt;1,"",detail!V32)</f>
        <v/>
      </c>
    </row>
    <row r="53" spans="2:7" x14ac:dyDescent="0.25">
      <c r="B53" s="23" t="str">
        <f>IF(LEN(detail!K33)&lt;1,"",detail!K33)</f>
        <v/>
      </c>
      <c r="C53" s="24"/>
      <c r="D53" s="25" t="str">
        <f>IF(LEN(detail!M33)&lt;1,"",detail!M33) &amp; IF(detail!Y33&lt;&gt;0, "*", "")</f>
        <v/>
      </c>
      <c r="E53" s="24"/>
      <c r="F53" s="11" t="str">
        <f>IF(LEN(detail!R33)&lt;1,"",IF(detail!X33 &lt;&gt; "Revenue Recognized", 0, detail!R33))</f>
        <v/>
      </c>
      <c r="G53" s="10" t="str">
        <f>IF(LEN(detail!V33)&lt;1,"",detail!V33)</f>
        <v/>
      </c>
    </row>
    <row r="54" spans="2:7" x14ac:dyDescent="0.25">
      <c r="B54" s="23" t="str">
        <f>IF(LEN(detail!K34)&lt;1,"",detail!K34)</f>
        <v/>
      </c>
      <c r="C54" s="24"/>
      <c r="D54" s="25" t="str">
        <f>IF(LEN(detail!M34)&lt;1,"",detail!M34) &amp; IF(detail!Y34&lt;&gt;0, "*", "")</f>
        <v/>
      </c>
      <c r="E54" s="24"/>
      <c r="F54" s="11" t="str">
        <f>IF(LEN(detail!R34)&lt;1,"",IF(detail!X34 &lt;&gt; "Revenue Recognized", 0, detail!R34))</f>
        <v/>
      </c>
      <c r="G54" s="10" t="str">
        <f>IF(LEN(detail!V34)&lt;1,"",detail!V34)</f>
        <v/>
      </c>
    </row>
    <row r="55" spans="2:7" x14ac:dyDescent="0.25">
      <c r="B55" s="23" t="str">
        <f>IF(LEN(detail!K44)&lt;1,"",detail!K44)</f>
        <v/>
      </c>
      <c r="C55" s="24"/>
      <c r="D55" s="25" t="str">
        <f>IF(LEN(detail!M44)&lt;1,"",detail!M44) &amp; IF(detail!Y44&lt;&gt;0, "*", "")</f>
        <v/>
      </c>
      <c r="E55" s="24"/>
      <c r="F55" s="11" t="str">
        <f>IF(LEN(detail!R44)&lt;1,"",IF(detail!X44 &lt;&gt; "Revenue Recognized", 0, detail!R44))</f>
        <v/>
      </c>
      <c r="G55" s="10" t="str">
        <f>IF(LEN(detail!V44)&lt;1,"",detail!V44)</f>
        <v/>
      </c>
    </row>
    <row r="56" spans="2:7" x14ac:dyDescent="0.25">
      <c r="B56" s="23" t="str">
        <f>IF(LEN(detail!K45)&lt;1,"",detail!K45)</f>
        <v/>
      </c>
      <c r="C56" s="24"/>
      <c r="D56" s="25" t="str">
        <f>IF(LEN(detail!M45)&lt;1,"",detail!M45) &amp; IF(detail!Y45&lt;&gt;0, "*", "")</f>
        <v/>
      </c>
      <c r="E56" s="24"/>
      <c r="F56" s="11" t="str">
        <f>IF(LEN(detail!R45)&lt;1,"",IF(detail!X45 &lt;&gt; "Revenue Recognized", 0, detail!R45))</f>
        <v/>
      </c>
      <c r="G56" s="10" t="str">
        <f>IF(LEN(detail!V45)&lt;1,"",detail!V45)</f>
        <v/>
      </c>
    </row>
    <row r="57" spans="2:7" x14ac:dyDescent="0.25">
      <c r="B57" s="23" t="str">
        <f>IF(LEN(detail!K46)&lt;1,"",detail!K46)</f>
        <v/>
      </c>
      <c r="C57" s="24"/>
      <c r="D57" s="25" t="str">
        <f>IF(LEN(detail!M46)&lt;1,"",detail!M46) &amp; IF(detail!Y46&lt;&gt;0, "*", "")</f>
        <v/>
      </c>
      <c r="E57" s="24"/>
      <c r="F57" s="11" t="str">
        <f>IF(LEN(detail!R46)&lt;1,"",IF(detail!X46 &lt;&gt; "Revenue Recognized", 0, detail!R46))</f>
        <v/>
      </c>
      <c r="G57" s="10" t="str">
        <f>IF(LEN(detail!V46)&lt;1,"",detail!V46)</f>
        <v/>
      </c>
    </row>
    <row r="58" spans="2:7" x14ac:dyDescent="0.25">
      <c r="B58" s="1" t="s">
        <v>20</v>
      </c>
    </row>
  </sheetData>
  <mergeCells count="85">
    <mergeCell ref="E11:F11"/>
    <mergeCell ref="D42:E42"/>
    <mergeCell ref="B36:C36"/>
    <mergeCell ref="B50:C50"/>
    <mergeCell ref="D50:E50"/>
    <mergeCell ref="D44:E44"/>
    <mergeCell ref="D57:E57"/>
    <mergeCell ref="B23:C23"/>
    <mergeCell ref="D32:E32"/>
    <mergeCell ref="D41:E41"/>
    <mergeCell ref="B20:G20"/>
    <mergeCell ref="D43:E43"/>
    <mergeCell ref="B57:C57"/>
    <mergeCell ref="B44:C44"/>
    <mergeCell ref="E15:F15"/>
    <mergeCell ref="B34:C34"/>
    <mergeCell ref="B28:C28"/>
    <mergeCell ref="D28:E28"/>
    <mergeCell ref="D25:E25"/>
    <mergeCell ref="B30:C30"/>
    <mergeCell ref="D55:E55"/>
    <mergeCell ref="D30:E30"/>
    <mergeCell ref="B45:C45"/>
    <mergeCell ref="D54:E54"/>
    <mergeCell ref="B47:C47"/>
    <mergeCell ref="B46:C46"/>
    <mergeCell ref="D46:E46"/>
    <mergeCell ref="D40:E40"/>
    <mergeCell ref="B54:C54"/>
    <mergeCell ref="E9:G9"/>
    <mergeCell ref="B56:C56"/>
    <mergeCell ref="B43:C43"/>
    <mergeCell ref="B52:C52"/>
    <mergeCell ref="D52:E52"/>
    <mergeCell ref="D49:E49"/>
    <mergeCell ref="D27:E27"/>
    <mergeCell ref="B42:C42"/>
    <mergeCell ref="E13:F13"/>
    <mergeCell ref="B9:C9"/>
    <mergeCell ref="E17:F17"/>
    <mergeCell ref="D21:E21"/>
    <mergeCell ref="B39:C39"/>
    <mergeCell ref="B48:C48"/>
    <mergeCell ref="E10:F10"/>
    <mergeCell ref="D53:E53"/>
    <mergeCell ref="D47:E47"/>
    <mergeCell ref="B29:C29"/>
    <mergeCell ref="B37:C37"/>
    <mergeCell ref="D37:E37"/>
    <mergeCell ref="D39:E39"/>
    <mergeCell ref="D29:E29"/>
    <mergeCell ref="D38:E38"/>
    <mergeCell ref="E12:F12"/>
    <mergeCell ref="B25:C25"/>
    <mergeCell ref="D34:E34"/>
    <mergeCell ref="E14:F14"/>
    <mergeCell ref="B27:C27"/>
    <mergeCell ref="E16:F16"/>
    <mergeCell ref="D23:E23"/>
    <mergeCell ref="D56:E56"/>
    <mergeCell ref="B49:C49"/>
    <mergeCell ref="B55:C55"/>
    <mergeCell ref="B24:C24"/>
    <mergeCell ref="D24:E24"/>
    <mergeCell ref="B33:C33"/>
    <mergeCell ref="D33:E33"/>
    <mergeCell ref="B51:C51"/>
    <mergeCell ref="D51:E51"/>
    <mergeCell ref="B32:C32"/>
    <mergeCell ref="B26:C26"/>
    <mergeCell ref="B41:C41"/>
    <mergeCell ref="D26:E26"/>
    <mergeCell ref="B35:C35"/>
    <mergeCell ref="D35:E35"/>
    <mergeCell ref="B53:C53"/>
    <mergeCell ref="D45:E45"/>
    <mergeCell ref="B21:C21"/>
    <mergeCell ref="D48:E48"/>
    <mergeCell ref="B38:C38"/>
    <mergeCell ref="B40:C40"/>
    <mergeCell ref="B22:C22"/>
    <mergeCell ref="D22:E22"/>
    <mergeCell ref="B31:C31"/>
    <mergeCell ref="D36:E36"/>
    <mergeCell ref="D31:E31"/>
  </mergeCells>
  <conditionalFormatting sqref="B22:B57 D22:D57 F22:G57">
    <cfRule type="containsErrors" dxfId="0" priority="1">
      <formula>ISERROR(B22)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H8"/>
  <sheetViews>
    <sheetView workbookViewId="0"/>
  </sheetViews>
  <sheetFormatPr defaultRowHeight="15" x14ac:dyDescent="0.25"/>
  <sheetData>
    <row r="1" spans="1:8" x14ac:dyDescent="0.25">
      <c r="A1" s="22" t="s">
        <v>21</v>
      </c>
      <c r="B1" s="22" t="s">
        <v>22</v>
      </c>
      <c r="C1" s="22" t="s">
        <v>23</v>
      </c>
      <c r="D1" s="22" t="s">
        <v>24</v>
      </c>
      <c r="E1" s="22" t="s">
        <v>25</v>
      </c>
      <c r="F1" s="22" t="s">
        <v>26</v>
      </c>
      <c r="G1" s="22" t="s">
        <v>27</v>
      </c>
      <c r="H1" s="22" t="s">
        <v>28</v>
      </c>
    </row>
    <row r="2" spans="1:8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14271.1</v>
      </c>
      <c r="G2" t="s">
        <v>34</v>
      </c>
    </row>
    <row r="3" spans="1:8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>
        <v>949548.32</v>
      </c>
      <c r="G3" t="s">
        <v>35</v>
      </c>
    </row>
    <row r="4" spans="1:8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>
        <v>2073.9499999999998</v>
      </c>
      <c r="G4" t="s">
        <v>36</v>
      </c>
    </row>
    <row r="5" spans="1:8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>
        <v>2073.9499999999998</v>
      </c>
      <c r="G5" t="s">
        <v>37</v>
      </c>
    </row>
    <row r="6" spans="1:8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>
        <v>6544298.1500000004</v>
      </c>
      <c r="G6" t="s">
        <v>38</v>
      </c>
    </row>
    <row r="7" spans="1:8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>
        <v>0.61</v>
      </c>
      <c r="G7" t="s">
        <v>39</v>
      </c>
    </row>
    <row r="8" spans="1:8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  <c r="F8">
        <v>14271</v>
      </c>
      <c r="G8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B24"/>
  <sheetViews>
    <sheetView workbookViewId="0"/>
  </sheetViews>
  <sheetFormatPr defaultRowHeight="15" x14ac:dyDescent="0.25"/>
  <cols>
    <col min="1" max="1" width="11.5703125" bestFit="1" customWidth="1"/>
    <col min="2" max="2" width="27" bestFit="1" customWidth="1"/>
  </cols>
  <sheetData>
    <row r="1" spans="1:2" x14ac:dyDescent="0.25">
      <c r="A1" t="s">
        <v>41</v>
      </c>
      <c r="B1" t="s">
        <v>42</v>
      </c>
    </row>
    <row r="2" spans="1:2" x14ac:dyDescent="0.25">
      <c r="A2" t="s">
        <v>43</v>
      </c>
      <c r="B2" t="s">
        <v>30</v>
      </c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49</v>
      </c>
    </row>
    <row r="6" spans="1:2" x14ac:dyDescent="0.25">
      <c r="A6" t="s">
        <v>50</v>
      </c>
      <c r="B6">
        <v>23340</v>
      </c>
    </row>
    <row r="7" spans="1:2" x14ac:dyDescent="0.25">
      <c r="A7" t="s">
        <v>51</v>
      </c>
      <c r="B7" t="s">
        <v>52</v>
      </c>
    </row>
    <row r="8" spans="1:2" x14ac:dyDescent="0.25">
      <c r="A8" t="s">
        <v>53</v>
      </c>
      <c r="B8">
        <v>10686111.9882</v>
      </c>
    </row>
    <row r="21" ht="15.95" customHeight="1" x14ac:dyDescent="0.25"/>
    <row r="22" ht="15.95" customHeight="1" x14ac:dyDescent="0.25"/>
    <row r="23" ht="3.95" customHeight="1" x14ac:dyDescent="0.25"/>
    <row r="24" ht="3.9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D22"/>
  <sheetViews>
    <sheetView workbookViewId="0"/>
  </sheetViews>
  <sheetFormatPr defaultRowHeight="15" x14ac:dyDescent="0.25"/>
  <sheetData>
    <row r="1" spans="1:30" x14ac:dyDescent="0.25">
      <c r="A1" s="22" t="s">
        <v>54</v>
      </c>
      <c r="B1" s="22" t="s">
        <v>55</v>
      </c>
      <c r="C1" s="22" t="s">
        <v>56</v>
      </c>
      <c r="D1" s="22" t="s">
        <v>57</v>
      </c>
      <c r="E1" s="22" t="s">
        <v>58</v>
      </c>
      <c r="F1" s="22" t="s">
        <v>59</v>
      </c>
      <c r="G1" s="22" t="s">
        <v>60</v>
      </c>
      <c r="H1" s="22" t="s">
        <v>61</v>
      </c>
      <c r="I1" s="22" t="s">
        <v>62</v>
      </c>
      <c r="J1" s="22" t="s">
        <v>63</v>
      </c>
      <c r="K1" s="22" t="s">
        <v>64</v>
      </c>
      <c r="L1" s="22" t="s">
        <v>65</v>
      </c>
      <c r="M1" s="22" t="s">
        <v>66</v>
      </c>
      <c r="N1" s="22" t="s">
        <v>67</v>
      </c>
      <c r="O1" s="22" t="s">
        <v>68</v>
      </c>
      <c r="P1" s="22" t="s">
        <v>69</v>
      </c>
      <c r="Q1" s="22" t="s">
        <v>35</v>
      </c>
      <c r="R1" s="22" t="s">
        <v>70</v>
      </c>
      <c r="S1" s="22" t="s">
        <v>71</v>
      </c>
      <c r="T1" s="22" t="s">
        <v>72</v>
      </c>
      <c r="U1" s="22" t="s">
        <v>73</v>
      </c>
      <c r="V1" s="22" t="s">
        <v>74</v>
      </c>
      <c r="W1" s="22" t="s">
        <v>75</v>
      </c>
      <c r="X1" s="22" t="s">
        <v>76</v>
      </c>
      <c r="Y1" s="22" t="s">
        <v>77</v>
      </c>
      <c r="Z1" s="22" t="s">
        <v>78</v>
      </c>
      <c r="AA1" s="22" t="s">
        <v>79</v>
      </c>
      <c r="AB1" s="22" t="s">
        <v>80</v>
      </c>
      <c r="AC1" s="22" t="s">
        <v>81</v>
      </c>
      <c r="AD1" s="22" t="s">
        <v>82</v>
      </c>
    </row>
    <row r="2" spans="1:30" x14ac:dyDescent="0.25">
      <c r="A2" t="s">
        <v>30</v>
      </c>
      <c r="B2" t="s">
        <v>42</v>
      </c>
      <c r="C2" t="s">
        <v>83</v>
      </c>
      <c r="D2" t="s">
        <v>84</v>
      </c>
      <c r="E2" s="19">
        <v>45870</v>
      </c>
      <c r="F2" t="s">
        <v>29</v>
      </c>
      <c r="G2" t="s">
        <v>31</v>
      </c>
      <c r="H2" s="19">
        <v>45869</v>
      </c>
      <c r="I2" t="s">
        <v>85</v>
      </c>
      <c r="J2" t="s">
        <v>31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>
        <v>28001.25</v>
      </c>
      <c r="R2">
        <v>28001.25</v>
      </c>
      <c r="S2">
        <v>5622751.0819238918</v>
      </c>
      <c r="T2">
        <v>1</v>
      </c>
      <c r="U2">
        <v>1</v>
      </c>
      <c r="V2">
        <v>1</v>
      </c>
      <c r="W2" t="s">
        <v>92</v>
      </c>
      <c r="X2" t="s">
        <v>93</v>
      </c>
      <c r="AD2">
        <v>0</v>
      </c>
    </row>
    <row r="3" spans="1:30" x14ac:dyDescent="0.25">
      <c r="A3" t="s">
        <v>30</v>
      </c>
      <c r="B3" t="s">
        <v>42</v>
      </c>
      <c r="C3" t="s">
        <v>83</v>
      </c>
      <c r="D3" t="s">
        <v>84</v>
      </c>
      <c r="E3" s="19">
        <v>45873</v>
      </c>
      <c r="F3" t="s">
        <v>29</v>
      </c>
      <c r="G3" t="s">
        <v>31</v>
      </c>
      <c r="I3" t="s">
        <v>29</v>
      </c>
      <c r="J3" t="s">
        <v>31</v>
      </c>
      <c r="K3" t="s">
        <v>94</v>
      </c>
      <c r="L3" t="s">
        <v>95</v>
      </c>
      <c r="M3" t="s">
        <v>96</v>
      </c>
      <c r="N3" t="s">
        <v>97</v>
      </c>
      <c r="Q3">
        <v>99000</v>
      </c>
      <c r="R3">
        <v>99000</v>
      </c>
      <c r="S3">
        <v>5721751.0819238918</v>
      </c>
      <c r="T3">
        <v>1</v>
      </c>
      <c r="U3">
        <v>0</v>
      </c>
      <c r="V3">
        <v>3</v>
      </c>
      <c r="W3" t="s">
        <v>92</v>
      </c>
      <c r="X3" t="s">
        <v>93</v>
      </c>
      <c r="AD3">
        <v>0</v>
      </c>
    </row>
    <row r="4" spans="1:30" x14ac:dyDescent="0.25">
      <c r="A4" t="s">
        <v>30</v>
      </c>
      <c r="B4" t="s">
        <v>42</v>
      </c>
      <c r="C4" t="s">
        <v>83</v>
      </c>
      <c r="D4" t="s">
        <v>84</v>
      </c>
      <c r="E4" s="19">
        <v>45874</v>
      </c>
      <c r="F4" t="s">
        <v>29</v>
      </c>
      <c r="G4" t="s">
        <v>31</v>
      </c>
      <c r="I4" t="s">
        <v>29</v>
      </c>
      <c r="J4" t="s">
        <v>31</v>
      </c>
      <c r="K4" t="s">
        <v>98</v>
      </c>
      <c r="L4" t="s">
        <v>99</v>
      </c>
      <c r="M4" t="s">
        <v>100</v>
      </c>
      <c r="N4" t="s">
        <v>101</v>
      </c>
      <c r="Q4">
        <v>28001.25</v>
      </c>
      <c r="R4">
        <v>28001.25</v>
      </c>
      <c r="S4">
        <v>5749752.3319238918</v>
      </c>
      <c r="T4">
        <v>1</v>
      </c>
      <c r="U4">
        <v>0</v>
      </c>
      <c r="V4">
        <v>1</v>
      </c>
      <c r="W4" t="s">
        <v>92</v>
      </c>
      <c r="X4" t="s">
        <v>93</v>
      </c>
      <c r="AD4">
        <v>0</v>
      </c>
    </row>
    <row r="5" spans="1:30" x14ac:dyDescent="0.25">
      <c r="A5" t="s">
        <v>30</v>
      </c>
      <c r="B5" t="s">
        <v>42</v>
      </c>
      <c r="C5" t="s">
        <v>83</v>
      </c>
      <c r="D5" t="s">
        <v>84</v>
      </c>
      <c r="E5" s="19">
        <v>45874</v>
      </c>
      <c r="F5" t="s">
        <v>29</v>
      </c>
      <c r="G5" t="s">
        <v>31</v>
      </c>
      <c r="H5" s="19">
        <v>45874</v>
      </c>
      <c r="I5" t="s">
        <v>29</v>
      </c>
      <c r="J5" t="s">
        <v>31</v>
      </c>
      <c r="K5" t="s">
        <v>102</v>
      </c>
      <c r="L5" t="s">
        <v>103</v>
      </c>
      <c r="M5" t="s">
        <v>104</v>
      </c>
      <c r="N5" t="s">
        <v>105</v>
      </c>
      <c r="O5" t="s">
        <v>106</v>
      </c>
      <c r="P5" t="s">
        <v>107</v>
      </c>
      <c r="Q5">
        <v>0</v>
      </c>
      <c r="R5">
        <v>28676.13636363636</v>
      </c>
      <c r="S5">
        <v>5778428.4682875276</v>
      </c>
      <c r="T5">
        <v>1</v>
      </c>
      <c r="U5">
        <v>1</v>
      </c>
      <c r="V5">
        <v>0</v>
      </c>
      <c r="W5" t="s">
        <v>92</v>
      </c>
      <c r="X5" t="s">
        <v>93</v>
      </c>
      <c r="AD5">
        <v>0</v>
      </c>
    </row>
    <row r="6" spans="1:30" x14ac:dyDescent="0.25">
      <c r="A6" t="s">
        <v>30</v>
      </c>
      <c r="B6" t="s">
        <v>42</v>
      </c>
      <c r="C6" t="s">
        <v>83</v>
      </c>
      <c r="D6" t="s">
        <v>84</v>
      </c>
      <c r="E6" s="19">
        <v>45877</v>
      </c>
      <c r="F6" t="s">
        <v>29</v>
      </c>
      <c r="G6" t="s">
        <v>31</v>
      </c>
      <c r="H6" s="19">
        <v>45877</v>
      </c>
      <c r="I6" t="s">
        <v>29</v>
      </c>
      <c r="J6" t="s">
        <v>31</v>
      </c>
      <c r="K6" t="s">
        <v>108</v>
      </c>
      <c r="L6" t="s">
        <v>109</v>
      </c>
      <c r="M6" t="s">
        <v>110</v>
      </c>
      <c r="N6" t="s">
        <v>111</v>
      </c>
      <c r="O6" t="s">
        <v>112</v>
      </c>
      <c r="P6" t="s">
        <v>113</v>
      </c>
      <c r="Q6">
        <v>0</v>
      </c>
      <c r="R6">
        <v>28676.13636363636</v>
      </c>
      <c r="S6">
        <v>5838604.6046511652</v>
      </c>
      <c r="T6">
        <v>1</v>
      </c>
      <c r="U6">
        <v>1</v>
      </c>
      <c r="V6">
        <v>0</v>
      </c>
      <c r="W6" t="s">
        <v>92</v>
      </c>
      <c r="X6" t="s">
        <v>93</v>
      </c>
      <c r="AD6">
        <v>0</v>
      </c>
    </row>
    <row r="7" spans="1:30" x14ac:dyDescent="0.25">
      <c r="A7" t="s">
        <v>30</v>
      </c>
      <c r="B7" t="s">
        <v>42</v>
      </c>
      <c r="C7" t="s">
        <v>83</v>
      </c>
      <c r="D7" t="s">
        <v>84</v>
      </c>
      <c r="E7" s="19">
        <v>45877</v>
      </c>
      <c r="F7" t="s">
        <v>29</v>
      </c>
      <c r="G7" t="s">
        <v>31</v>
      </c>
      <c r="H7" s="19">
        <v>45876</v>
      </c>
      <c r="I7" t="s">
        <v>29</v>
      </c>
      <c r="J7" t="s">
        <v>31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>
        <v>31500</v>
      </c>
      <c r="R7">
        <v>31500</v>
      </c>
      <c r="S7">
        <v>5809928.4682875276</v>
      </c>
      <c r="T7">
        <v>1</v>
      </c>
      <c r="U7">
        <v>1</v>
      </c>
      <c r="V7">
        <v>1</v>
      </c>
      <c r="W7" t="s">
        <v>92</v>
      </c>
      <c r="X7" t="s">
        <v>93</v>
      </c>
      <c r="AD7">
        <v>0</v>
      </c>
    </row>
    <row r="8" spans="1:30" x14ac:dyDescent="0.25">
      <c r="A8" t="s">
        <v>30</v>
      </c>
      <c r="B8" t="s">
        <v>42</v>
      </c>
      <c r="C8" t="s">
        <v>83</v>
      </c>
      <c r="D8" t="s">
        <v>84</v>
      </c>
      <c r="E8" s="19">
        <v>45884</v>
      </c>
      <c r="F8" t="s">
        <v>29</v>
      </c>
      <c r="G8" t="s">
        <v>31</v>
      </c>
      <c r="I8" t="s">
        <v>29</v>
      </c>
      <c r="J8" t="s">
        <v>31</v>
      </c>
      <c r="K8" t="s">
        <v>94</v>
      </c>
      <c r="L8" t="s">
        <v>95</v>
      </c>
      <c r="M8" t="s">
        <v>120</v>
      </c>
      <c r="N8" t="s">
        <v>121</v>
      </c>
      <c r="Q8">
        <v>99000</v>
      </c>
      <c r="R8">
        <v>99000</v>
      </c>
      <c r="S8">
        <v>5937604.6046511652</v>
      </c>
      <c r="T8">
        <v>1</v>
      </c>
      <c r="U8">
        <v>0</v>
      </c>
      <c r="V8">
        <v>3</v>
      </c>
      <c r="W8" t="s">
        <v>92</v>
      </c>
      <c r="X8" t="s">
        <v>93</v>
      </c>
      <c r="AD8">
        <v>0</v>
      </c>
    </row>
    <row r="9" spans="1:30" x14ac:dyDescent="0.25">
      <c r="A9" t="s">
        <v>30</v>
      </c>
      <c r="B9" t="s">
        <v>42</v>
      </c>
      <c r="C9" t="s">
        <v>83</v>
      </c>
      <c r="D9" t="s">
        <v>84</v>
      </c>
      <c r="E9" s="19">
        <v>45887</v>
      </c>
      <c r="F9" t="s">
        <v>29</v>
      </c>
      <c r="G9" t="s">
        <v>31</v>
      </c>
      <c r="H9" s="19">
        <v>45884</v>
      </c>
      <c r="I9" t="s">
        <v>29</v>
      </c>
      <c r="J9" t="s">
        <v>31</v>
      </c>
      <c r="K9" t="s">
        <v>122</v>
      </c>
      <c r="L9" t="s">
        <v>123</v>
      </c>
      <c r="M9" t="s">
        <v>124</v>
      </c>
      <c r="N9" t="s">
        <v>125</v>
      </c>
      <c r="O9" t="s">
        <v>126</v>
      </c>
      <c r="P9" t="s">
        <v>127</v>
      </c>
      <c r="Q9">
        <v>27510</v>
      </c>
      <c r="R9">
        <v>27510</v>
      </c>
      <c r="S9">
        <v>5965114.6046511652</v>
      </c>
      <c r="T9">
        <v>1</v>
      </c>
      <c r="U9">
        <v>1</v>
      </c>
      <c r="V9">
        <v>1</v>
      </c>
      <c r="W9" t="s">
        <v>128</v>
      </c>
      <c r="X9" t="s">
        <v>93</v>
      </c>
      <c r="AD9">
        <v>0</v>
      </c>
    </row>
    <row r="10" spans="1:30" x14ac:dyDescent="0.25">
      <c r="A10" t="s">
        <v>30</v>
      </c>
      <c r="B10" t="s">
        <v>42</v>
      </c>
      <c r="C10" t="s">
        <v>83</v>
      </c>
      <c r="D10" t="s">
        <v>84</v>
      </c>
      <c r="E10" s="19">
        <v>45889</v>
      </c>
      <c r="F10" t="s">
        <v>29</v>
      </c>
      <c r="G10" t="s">
        <v>31</v>
      </c>
      <c r="I10" t="s">
        <v>29</v>
      </c>
      <c r="J10" t="s">
        <v>31</v>
      </c>
      <c r="K10" t="s">
        <v>98</v>
      </c>
      <c r="L10" t="s">
        <v>99</v>
      </c>
      <c r="M10" t="s">
        <v>129</v>
      </c>
      <c r="N10" t="s">
        <v>130</v>
      </c>
      <c r="Q10">
        <v>28001.25</v>
      </c>
      <c r="R10">
        <v>28001.25</v>
      </c>
      <c r="S10">
        <v>5993115.8546511652</v>
      </c>
      <c r="T10">
        <v>1</v>
      </c>
      <c r="U10">
        <v>0</v>
      </c>
      <c r="V10">
        <v>1</v>
      </c>
      <c r="W10" t="s">
        <v>92</v>
      </c>
      <c r="X10" t="s">
        <v>93</v>
      </c>
      <c r="AD10">
        <v>0</v>
      </c>
    </row>
    <row r="11" spans="1:30" x14ac:dyDescent="0.25">
      <c r="A11" t="s">
        <v>30</v>
      </c>
      <c r="B11" t="s">
        <v>42</v>
      </c>
      <c r="C11" t="s">
        <v>83</v>
      </c>
      <c r="D11" t="s">
        <v>84</v>
      </c>
      <c r="E11" s="19">
        <v>45889</v>
      </c>
      <c r="F11" t="s">
        <v>29</v>
      </c>
      <c r="G11" t="s">
        <v>31</v>
      </c>
      <c r="I11" t="s">
        <v>29</v>
      </c>
      <c r="J11" t="s">
        <v>31</v>
      </c>
      <c r="K11" t="s">
        <v>98</v>
      </c>
      <c r="L11" t="s">
        <v>99</v>
      </c>
      <c r="M11" t="s">
        <v>131</v>
      </c>
      <c r="N11" t="s">
        <v>132</v>
      </c>
      <c r="Q11">
        <v>28001.25</v>
      </c>
      <c r="R11">
        <v>28001.25</v>
      </c>
      <c r="S11">
        <v>6021117.1046511652</v>
      </c>
      <c r="T11">
        <v>1</v>
      </c>
      <c r="U11">
        <v>0</v>
      </c>
      <c r="V11">
        <v>1</v>
      </c>
      <c r="W11" t="s">
        <v>92</v>
      </c>
      <c r="X11" t="s">
        <v>93</v>
      </c>
      <c r="AD11">
        <v>0</v>
      </c>
    </row>
    <row r="12" spans="1:30" x14ac:dyDescent="0.25">
      <c r="A12" t="s">
        <v>30</v>
      </c>
      <c r="B12" t="s">
        <v>42</v>
      </c>
      <c r="C12" t="s">
        <v>83</v>
      </c>
      <c r="D12" t="s">
        <v>84</v>
      </c>
      <c r="E12" s="19">
        <v>45890</v>
      </c>
      <c r="F12" t="s">
        <v>29</v>
      </c>
      <c r="G12" t="s">
        <v>31</v>
      </c>
      <c r="H12" s="19">
        <v>45889</v>
      </c>
      <c r="I12" t="s">
        <v>29</v>
      </c>
      <c r="J12" t="s">
        <v>31</v>
      </c>
      <c r="K12" t="s">
        <v>133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>
        <v>32000</v>
      </c>
      <c r="R12">
        <v>31833.720930232561</v>
      </c>
      <c r="S12">
        <v>6052950.8255813979</v>
      </c>
      <c r="T12">
        <v>1</v>
      </c>
      <c r="U12">
        <v>1</v>
      </c>
      <c r="V12">
        <v>1</v>
      </c>
      <c r="W12" t="s">
        <v>92</v>
      </c>
      <c r="X12" t="s">
        <v>93</v>
      </c>
      <c r="AD12">
        <v>0</v>
      </c>
    </row>
    <row r="13" spans="1:30" x14ac:dyDescent="0.25">
      <c r="A13" t="s">
        <v>30</v>
      </c>
      <c r="B13" t="s">
        <v>42</v>
      </c>
      <c r="C13" t="s">
        <v>83</v>
      </c>
      <c r="D13" t="s">
        <v>84</v>
      </c>
      <c r="E13" s="19">
        <v>45891</v>
      </c>
      <c r="F13" t="s">
        <v>29</v>
      </c>
      <c r="G13" t="s">
        <v>31</v>
      </c>
      <c r="I13" t="s">
        <v>29</v>
      </c>
      <c r="J13" t="s">
        <v>31</v>
      </c>
      <c r="K13" t="s">
        <v>139</v>
      </c>
      <c r="L13" t="s">
        <v>140</v>
      </c>
      <c r="M13" t="s">
        <v>141</v>
      </c>
      <c r="N13" t="s">
        <v>142</v>
      </c>
      <c r="Q13">
        <v>168000</v>
      </c>
      <c r="R13">
        <v>168000</v>
      </c>
      <c r="S13">
        <v>6220950.8255813979</v>
      </c>
      <c r="T13">
        <v>1</v>
      </c>
      <c r="U13">
        <v>0</v>
      </c>
      <c r="V13">
        <v>6</v>
      </c>
      <c r="W13" t="s">
        <v>92</v>
      </c>
      <c r="X13" t="s">
        <v>93</v>
      </c>
      <c r="AD13">
        <v>0</v>
      </c>
    </row>
    <row r="14" spans="1:30" x14ac:dyDescent="0.25">
      <c r="A14" t="s">
        <v>30</v>
      </c>
      <c r="B14" t="s">
        <v>42</v>
      </c>
      <c r="C14" t="s">
        <v>83</v>
      </c>
      <c r="D14" t="s">
        <v>84</v>
      </c>
      <c r="E14" s="19">
        <v>45894</v>
      </c>
      <c r="F14" t="s">
        <v>29</v>
      </c>
      <c r="G14" t="s">
        <v>31</v>
      </c>
      <c r="I14" t="s">
        <v>29</v>
      </c>
      <c r="J14" t="s">
        <v>31</v>
      </c>
      <c r="K14" t="s">
        <v>143</v>
      </c>
      <c r="L14" t="s">
        <v>144</v>
      </c>
      <c r="M14" t="s">
        <v>145</v>
      </c>
      <c r="N14" t="s">
        <v>146</v>
      </c>
      <c r="Q14">
        <v>31500</v>
      </c>
      <c r="R14">
        <v>31500</v>
      </c>
      <c r="S14">
        <v>6364452.0755813979</v>
      </c>
      <c r="T14">
        <v>1</v>
      </c>
      <c r="U14">
        <v>0</v>
      </c>
      <c r="V14">
        <v>1</v>
      </c>
      <c r="W14" t="s">
        <v>92</v>
      </c>
      <c r="X14" t="s">
        <v>93</v>
      </c>
      <c r="AD14">
        <v>0</v>
      </c>
    </row>
    <row r="15" spans="1:30" x14ac:dyDescent="0.25">
      <c r="A15" t="s">
        <v>30</v>
      </c>
      <c r="B15" t="s">
        <v>42</v>
      </c>
      <c r="C15" t="s">
        <v>83</v>
      </c>
      <c r="D15" t="s">
        <v>84</v>
      </c>
      <c r="E15" s="19">
        <v>45894</v>
      </c>
      <c r="F15" t="s">
        <v>29</v>
      </c>
      <c r="G15" t="s">
        <v>31</v>
      </c>
      <c r="I15" t="s">
        <v>29</v>
      </c>
      <c r="J15" t="s">
        <v>31</v>
      </c>
      <c r="K15" t="s">
        <v>98</v>
      </c>
      <c r="L15" t="s">
        <v>99</v>
      </c>
      <c r="M15" t="s">
        <v>147</v>
      </c>
      <c r="N15" t="s">
        <v>148</v>
      </c>
      <c r="Q15">
        <v>28001.25</v>
      </c>
      <c r="R15">
        <v>28001.25</v>
      </c>
      <c r="S15">
        <v>6248952.0755813979</v>
      </c>
      <c r="T15">
        <v>1</v>
      </c>
      <c r="U15">
        <v>0</v>
      </c>
      <c r="V15">
        <v>1</v>
      </c>
      <c r="W15" t="s">
        <v>92</v>
      </c>
      <c r="X15" t="s">
        <v>93</v>
      </c>
      <c r="AD15">
        <v>0</v>
      </c>
    </row>
    <row r="16" spans="1:30" x14ac:dyDescent="0.25">
      <c r="A16" t="s">
        <v>30</v>
      </c>
      <c r="B16" t="s">
        <v>42</v>
      </c>
      <c r="C16" t="s">
        <v>83</v>
      </c>
      <c r="D16" t="s">
        <v>84</v>
      </c>
      <c r="E16" s="19">
        <v>45894</v>
      </c>
      <c r="F16" t="s">
        <v>29</v>
      </c>
      <c r="G16" t="s">
        <v>31</v>
      </c>
      <c r="I16" t="s">
        <v>29</v>
      </c>
      <c r="J16" t="s">
        <v>31</v>
      </c>
      <c r="K16" t="s">
        <v>149</v>
      </c>
      <c r="L16" t="s">
        <v>150</v>
      </c>
      <c r="M16" t="s">
        <v>151</v>
      </c>
      <c r="N16" t="s">
        <v>152</v>
      </c>
      <c r="Q16">
        <v>84000</v>
      </c>
      <c r="R16">
        <v>84000</v>
      </c>
      <c r="S16">
        <v>6332952.0755813979</v>
      </c>
      <c r="T16">
        <v>1</v>
      </c>
      <c r="U16">
        <v>0</v>
      </c>
      <c r="V16">
        <v>3</v>
      </c>
      <c r="W16" t="s">
        <v>92</v>
      </c>
      <c r="X16" t="s">
        <v>93</v>
      </c>
      <c r="AD16">
        <v>0</v>
      </c>
    </row>
    <row r="17" spans="1:30" x14ac:dyDescent="0.25">
      <c r="A17" t="s">
        <v>30</v>
      </c>
      <c r="B17" t="s">
        <v>42</v>
      </c>
      <c r="C17" t="s">
        <v>83</v>
      </c>
      <c r="D17" t="s">
        <v>84</v>
      </c>
      <c r="E17" s="19">
        <v>45895</v>
      </c>
      <c r="F17" t="s">
        <v>29</v>
      </c>
      <c r="G17" t="s">
        <v>31</v>
      </c>
      <c r="H17" s="19">
        <v>45895</v>
      </c>
      <c r="I17" t="s">
        <v>29</v>
      </c>
      <c r="J17" t="s">
        <v>31</v>
      </c>
      <c r="K17" t="s">
        <v>102</v>
      </c>
      <c r="L17" t="s">
        <v>103</v>
      </c>
      <c r="M17" t="s">
        <v>153</v>
      </c>
      <c r="N17" t="s">
        <v>154</v>
      </c>
      <c r="O17" t="s">
        <v>155</v>
      </c>
      <c r="P17" t="s">
        <v>156</v>
      </c>
      <c r="Q17">
        <v>0</v>
      </c>
      <c r="R17">
        <v>28676.13636363636</v>
      </c>
      <c r="S17">
        <v>6421129.4619450346</v>
      </c>
      <c r="T17">
        <v>1</v>
      </c>
      <c r="U17">
        <v>1</v>
      </c>
      <c r="V17">
        <v>0</v>
      </c>
      <c r="W17" t="s">
        <v>92</v>
      </c>
      <c r="X17" t="s">
        <v>93</v>
      </c>
      <c r="AD17">
        <v>0</v>
      </c>
    </row>
    <row r="18" spans="1:30" x14ac:dyDescent="0.25">
      <c r="A18" t="s">
        <v>30</v>
      </c>
      <c r="B18" t="s">
        <v>42</v>
      </c>
      <c r="C18" t="s">
        <v>83</v>
      </c>
      <c r="D18" t="s">
        <v>84</v>
      </c>
      <c r="E18" s="19">
        <v>45895</v>
      </c>
      <c r="F18" t="s">
        <v>29</v>
      </c>
      <c r="G18" t="s">
        <v>31</v>
      </c>
      <c r="I18" t="s">
        <v>29</v>
      </c>
      <c r="J18" t="s">
        <v>31</v>
      </c>
      <c r="K18" t="s">
        <v>98</v>
      </c>
      <c r="L18" t="s">
        <v>99</v>
      </c>
      <c r="M18" t="s">
        <v>157</v>
      </c>
      <c r="N18" t="s">
        <v>158</v>
      </c>
      <c r="Q18">
        <v>28001.25</v>
      </c>
      <c r="R18">
        <v>28001.25</v>
      </c>
      <c r="S18">
        <v>6392453.3255813979</v>
      </c>
      <c r="T18">
        <v>1</v>
      </c>
      <c r="U18">
        <v>0</v>
      </c>
      <c r="V18">
        <v>1</v>
      </c>
      <c r="W18" t="s">
        <v>92</v>
      </c>
      <c r="X18" t="s">
        <v>93</v>
      </c>
      <c r="AD18">
        <v>0</v>
      </c>
    </row>
    <row r="19" spans="1:30" x14ac:dyDescent="0.25">
      <c r="A19" t="s">
        <v>30</v>
      </c>
      <c r="B19" t="s">
        <v>42</v>
      </c>
      <c r="C19" t="s">
        <v>83</v>
      </c>
      <c r="D19" t="s">
        <v>84</v>
      </c>
      <c r="E19" s="19">
        <v>45896</v>
      </c>
      <c r="F19" t="s">
        <v>29</v>
      </c>
      <c r="G19" t="s">
        <v>31</v>
      </c>
      <c r="I19" t="s">
        <v>29</v>
      </c>
      <c r="J19" t="s">
        <v>31</v>
      </c>
      <c r="K19" t="s">
        <v>98</v>
      </c>
      <c r="L19" t="s">
        <v>99</v>
      </c>
      <c r="M19" t="s">
        <v>159</v>
      </c>
      <c r="N19" t="s">
        <v>160</v>
      </c>
      <c r="Q19">
        <v>28001.25</v>
      </c>
      <c r="R19">
        <v>28001.25</v>
      </c>
      <c r="S19">
        <v>6449130.7119450346</v>
      </c>
      <c r="T19">
        <v>1</v>
      </c>
      <c r="U19">
        <v>0</v>
      </c>
      <c r="V19">
        <v>1</v>
      </c>
      <c r="W19" t="s">
        <v>92</v>
      </c>
      <c r="X19" t="s">
        <v>93</v>
      </c>
      <c r="AD19">
        <v>0</v>
      </c>
    </row>
    <row r="20" spans="1:30" x14ac:dyDescent="0.25">
      <c r="A20" t="s">
        <v>30</v>
      </c>
      <c r="B20" t="s">
        <v>42</v>
      </c>
      <c r="C20" t="s">
        <v>83</v>
      </c>
      <c r="D20" t="s">
        <v>84</v>
      </c>
      <c r="E20" s="19">
        <v>45896</v>
      </c>
      <c r="F20" t="s">
        <v>29</v>
      </c>
      <c r="G20" t="s">
        <v>31</v>
      </c>
      <c r="H20" s="19">
        <v>45896</v>
      </c>
      <c r="I20" t="s">
        <v>29</v>
      </c>
      <c r="J20" t="s">
        <v>31</v>
      </c>
      <c r="K20" t="s">
        <v>133</v>
      </c>
      <c r="L20" t="s">
        <v>134</v>
      </c>
      <c r="M20" t="s">
        <v>161</v>
      </c>
      <c r="N20" t="s">
        <v>162</v>
      </c>
      <c r="O20" t="s">
        <v>137</v>
      </c>
      <c r="P20" t="s">
        <v>138</v>
      </c>
      <c r="Q20">
        <v>32000</v>
      </c>
      <c r="R20">
        <v>31833.720930232561</v>
      </c>
      <c r="S20">
        <v>6544298.1538054999</v>
      </c>
      <c r="T20">
        <v>1</v>
      </c>
      <c r="U20">
        <v>1</v>
      </c>
      <c r="V20">
        <v>1</v>
      </c>
      <c r="W20" t="s">
        <v>92</v>
      </c>
      <c r="X20" t="s">
        <v>93</v>
      </c>
      <c r="AD20">
        <v>0</v>
      </c>
    </row>
    <row r="21" spans="1:30" x14ac:dyDescent="0.25">
      <c r="A21" t="s">
        <v>30</v>
      </c>
      <c r="B21" t="s">
        <v>42</v>
      </c>
      <c r="C21" t="s">
        <v>83</v>
      </c>
      <c r="D21" t="s">
        <v>84</v>
      </c>
      <c r="E21" s="19">
        <v>45896</v>
      </c>
      <c r="F21" t="s">
        <v>29</v>
      </c>
      <c r="G21" t="s">
        <v>31</v>
      </c>
      <c r="H21" s="19">
        <v>45895</v>
      </c>
      <c r="I21" t="s">
        <v>29</v>
      </c>
      <c r="J21" t="s">
        <v>31</v>
      </c>
      <c r="K21" t="s">
        <v>163</v>
      </c>
      <c r="L21" t="s">
        <v>164</v>
      </c>
      <c r="M21" t="s">
        <v>165</v>
      </c>
      <c r="N21" t="s">
        <v>166</v>
      </c>
      <c r="O21" t="s">
        <v>167</v>
      </c>
      <c r="P21" t="s">
        <v>168</v>
      </c>
      <c r="Q21">
        <v>31500</v>
      </c>
      <c r="R21">
        <v>31500</v>
      </c>
      <c r="S21">
        <v>6480630.7119450346</v>
      </c>
      <c r="T21">
        <v>1</v>
      </c>
      <c r="U21">
        <v>1</v>
      </c>
      <c r="V21">
        <v>1</v>
      </c>
      <c r="W21" t="s">
        <v>92</v>
      </c>
      <c r="X21" t="s">
        <v>93</v>
      </c>
      <c r="AD21">
        <v>0</v>
      </c>
    </row>
    <row r="22" spans="1:30" x14ac:dyDescent="0.25">
      <c r="A22" t="s">
        <v>30</v>
      </c>
      <c r="B22" t="s">
        <v>42</v>
      </c>
      <c r="C22" t="s">
        <v>83</v>
      </c>
      <c r="D22" t="s">
        <v>84</v>
      </c>
      <c r="E22" s="19">
        <v>45896</v>
      </c>
      <c r="F22" t="s">
        <v>29</v>
      </c>
      <c r="G22" t="s">
        <v>31</v>
      </c>
      <c r="H22" s="19">
        <v>45895</v>
      </c>
      <c r="I22" t="s">
        <v>29</v>
      </c>
      <c r="J22" t="s">
        <v>31</v>
      </c>
      <c r="K22" t="s">
        <v>133</v>
      </c>
      <c r="L22" t="s">
        <v>134</v>
      </c>
      <c r="M22" t="s">
        <v>169</v>
      </c>
      <c r="N22" t="s">
        <v>170</v>
      </c>
      <c r="O22" t="s">
        <v>137</v>
      </c>
      <c r="P22" t="s">
        <v>138</v>
      </c>
      <c r="Q22">
        <v>32000</v>
      </c>
      <c r="R22">
        <v>31833.720930232561</v>
      </c>
      <c r="S22">
        <v>6512464.4328752672</v>
      </c>
      <c r="T22">
        <v>1</v>
      </c>
      <c r="U22">
        <v>1</v>
      </c>
      <c r="V22">
        <v>1</v>
      </c>
      <c r="W22" t="s">
        <v>92</v>
      </c>
      <c r="X22" t="s">
        <v>93</v>
      </c>
      <c r="AD22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eff0eb1-075c-4ae5-b77d-0819b1b25be5}" enabled="1" method="Standard" siteId="{a28e9437-6344-4b20-a381-b537222b18c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payout</vt:lpstr>
      <vt:lpstr>info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Sorensen</dc:creator>
  <cp:lastModifiedBy>Alan Sorensen</cp:lastModifiedBy>
  <cp:lastPrinted>2024-06-15T00:27:31Z</cp:lastPrinted>
  <dcterms:created xsi:type="dcterms:W3CDTF">2015-06-05T18:17:20Z</dcterms:created>
  <dcterms:modified xsi:type="dcterms:W3CDTF">2025-09-19T19:21:53Z</dcterms:modified>
</cp:coreProperties>
</file>