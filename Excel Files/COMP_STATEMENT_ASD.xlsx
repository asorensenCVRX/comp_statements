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3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164" fontId="3" fillId="3" borderId="1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0" fontId="4" fillId="4" borderId="20" applyAlignment="1" pivotButton="0" quotePrefix="0" xfId="0">
      <alignment horizontal="center"/>
    </xf>
    <xf numFmtId="166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23" applyAlignment="1" pivotButton="0" quotePrefix="0" xfId="0">
      <alignment horizontal="center"/>
    </xf>
    <xf numFmtId="0" fontId="3" fillId="0" borderId="21" applyAlignment="1" pivotButton="0" quotePrefix="0" xfId="0">
      <alignment horizontal="left"/>
    </xf>
    <xf numFmtId="0" fontId="0" fillId="0" borderId="7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165" fontId="6" fillId="0" borderId="9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23" applyAlignment="1" pivotButton="0" quotePrefix="0" xfId="0">
      <alignment horizontal="center"/>
    </xf>
    <xf numFmtId="165" fontId="2" fillId="0" borderId="10" applyAlignment="1" pivotButton="0" quotePrefix="0" xfId="0">
      <alignment horizontal="center"/>
    </xf>
    <xf numFmtId="167" fontId="0" fillId="0" borderId="0" pivotButton="0" quotePrefix="0" xfId="0"/>
    <xf numFmtId="0" fontId="4" fillId="4" borderId="18" applyAlignment="1" pivotButton="0" quotePrefix="0" xfId="0">
      <alignment horizontal="center"/>
    </xf>
    <xf numFmtId="0" fontId="0" fillId="0" borderId="18" pivotButton="0" quotePrefix="0" xfId="0"/>
    <xf numFmtId="0" fontId="2" fillId="0" borderId="5" applyAlignment="1" pivotButton="0" quotePrefix="0" xfId="0">
      <alignment horizontal="left"/>
    </xf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6" fillId="0" borderId="8" pivotButton="0" quotePrefix="0" xfId="0"/>
    <xf numFmtId="0" fontId="0" fillId="0" borderId="13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24" applyAlignment="1" pivotButton="0" quotePrefix="0" xfId="0">
      <alignment horizontal="left" wrapText="1"/>
    </xf>
    <xf numFmtId="0" fontId="0" fillId="0" borderId="22" pivotButton="0" quotePrefix="0" xfId="0"/>
    <xf numFmtId="0" fontId="4" fillId="4" borderId="19" applyAlignment="1" pivotButton="0" quotePrefix="0" xfId="0">
      <alignment horizontal="center"/>
    </xf>
    <xf numFmtId="0" fontId="0" fillId="0" borderId="17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pivotButton="0" quotePrefix="0" xfId="0"/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854298</colOff>
      <row>3</row>
      <rowOff>174763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7"/>
  <sheetViews>
    <sheetView workbookViewId="0">
      <selection activeCell="C18" sqref="C18"/>
    </sheetView>
  </sheetViews>
  <sheetFormatPr baseColWidth="8" defaultRowHeight="15.75"/>
  <cols>
    <col width="0.7109375" customWidth="1" style="1" min="1" max="1"/>
    <col width="19.5703125" customWidth="1" style="1" min="2" max="2"/>
    <col width="13.7109375" customWidth="1" style="1" min="3" max="3"/>
    <col width="11.85546875" customWidth="1" style="1" min="4" max="4"/>
    <col width="8.42578125" bestFit="1" customWidth="1" style="1" min="5" max="5"/>
    <col width="17.855468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info!B2 &amp; " " &amp; info!B3</f>
        <v/>
      </c>
    </row>
    <row r="5">
      <c r="B5" s="2">
        <f>info!B6</f>
        <v/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5" t="inlineStr">
        <is>
          <t>Sales Performance</t>
        </is>
      </c>
      <c r="C9" s="37" t="n"/>
      <c r="D9" s="3" t="n"/>
      <c r="E9" s="35" t="inlineStr">
        <is>
          <t>Final Payment</t>
        </is>
      </c>
      <c r="F9" s="36" t="n"/>
      <c r="G9" s="37" t="n"/>
    </row>
    <row r="10">
      <c r="B10" s="44" t="inlineStr">
        <is>
          <t>Level 1 Sales</t>
        </is>
      </c>
      <c r="C10" s="22">
        <f>_xlfn.XLOOKUP("L1_REV", payout!$G:$G, payout!$F:$F)</f>
        <v/>
      </c>
      <c r="E10" s="44" t="inlineStr">
        <is>
          <t>Level 1 Payout</t>
        </is>
      </c>
      <c r="F10" s="29" t="n"/>
      <c r="G10" s="7">
        <f>_xlfn.XLOOKUP("L1_PO", payout!G:G,payout!F:F)</f>
        <v/>
      </c>
    </row>
    <row r="11" ht="16.5" customHeight="1" thickBot="1">
      <c r="A11" s="6" t="n"/>
      <c r="B11" s="44" t="inlineStr">
        <is>
          <t>Level 2 Sales</t>
        </is>
      </c>
      <c r="C11" s="23">
        <f>_xlfn.XLOOKUP("L2_REV", payout!$G:$G, payout!$F:$F)</f>
        <v/>
      </c>
      <c r="E11" s="44" t="inlineStr">
        <is>
          <t>Level 2 Payout</t>
        </is>
      </c>
      <c r="F11" s="29" t="n"/>
      <c r="G11" s="7">
        <f>_xlfn.XLOOKUP("L2_PO",payout!G:G,payout!F:F)</f>
        <v/>
      </c>
    </row>
    <row r="12" ht="16.5" customHeight="1" thickBot="1" thickTop="1">
      <c r="A12" s="6" t="n"/>
      <c r="B12" s="11" t="inlineStr">
        <is>
          <t>Total Sales</t>
        </is>
      </c>
      <c r="C12" s="24">
        <f>SUM(C9:C11)</f>
        <v/>
      </c>
      <c r="E12" s="31" t="inlineStr">
        <is>
          <t>Subtotal</t>
        </is>
      </c>
      <c r="F12" s="32" t="n"/>
      <c r="G12" s="12">
        <f>SUM(G9:G11)</f>
        <v/>
      </c>
    </row>
    <row r="13" ht="17.25" customHeight="1" thickTop="1">
      <c r="B13" s="2" t="n"/>
      <c r="C13" s="15" t="n"/>
      <c r="E13" s="38" t="inlineStr">
        <is>
          <t>Other Adjustments</t>
        </is>
      </c>
      <c r="F13" s="39" t="n"/>
      <c r="G13" s="5">
        <f>IFERROR(_xlfn.XLOOKUP("ADJUSTMENTS", payout!G:G,payout!F:F), 0) + IFERROR(_xlfn.XLOOKUP("SPIFF_PO", payout!G:G,payout!F:F), 0)</f>
        <v/>
      </c>
    </row>
    <row r="14" ht="15.75" customHeight="1" thickBot="1">
      <c r="D14" s="6">
        <f>IF(G14&gt;0, 1, 0)</f>
        <v/>
      </c>
      <c r="E14" s="17" t="inlineStr">
        <is>
          <t>Recoverable Draw</t>
        </is>
      </c>
      <c r="F14" s="18" t="n"/>
      <c r="G14" s="16">
        <f>IFERROR(_xlfn.XLOOKUP("GUARANTEE",payout!G:G,payout!F:F), 0)</f>
        <v/>
      </c>
    </row>
    <row r="15" ht="16.5" customHeight="1" thickBot="1" thickTop="1">
      <c r="D15" s="6">
        <f>IF(G15&gt;0, 1, 0)</f>
        <v/>
      </c>
      <c r="E15" s="31" t="inlineStr">
        <is>
          <t>Final Payout</t>
        </is>
      </c>
      <c r="F15" s="32" t="n"/>
      <c r="G15" s="8">
        <f>_xlfn.XLOOKUP("PO_AMT", payout!G:G,payout!F:F)</f>
        <v/>
      </c>
    </row>
    <row r="16" ht="17.25" customHeight="1" thickBot="1" thickTop="1">
      <c r="E16" s="33" t="inlineStr">
        <is>
          <t>YTD Payout</t>
        </is>
      </c>
      <c r="F16" s="34" t="n"/>
      <c r="G16" s="21">
        <f>_xlfn.XLOOKUP("YTD_PO", payout!G:G,payout!F:F)</f>
        <v/>
      </c>
    </row>
    <row r="17" ht="17.25" customHeight="1"/>
    <row r="19">
      <c r="B19" s="42" t="inlineStr">
        <is>
          <t xml:space="preserve">Opportunity Detail </t>
        </is>
      </c>
      <c r="C19" s="43" t="n"/>
      <c r="D19" s="43" t="n"/>
      <c r="E19" s="43" t="n"/>
      <c r="F19" s="43" t="n"/>
      <c r="G19" s="29" t="n"/>
    </row>
    <row r="20">
      <c r="B20" s="40" t="inlineStr">
        <is>
          <t>Account</t>
        </is>
      </c>
      <c r="C20" s="41" t="n"/>
      <c r="D20" s="26" t="inlineStr">
        <is>
          <t>Opp Name</t>
        </is>
      </c>
      <c r="E20" s="27" t="n"/>
      <c r="F20" s="13" t="inlineStr">
        <is>
          <t>Sales</t>
        </is>
      </c>
      <c r="G20" s="13" t="inlineStr">
        <is>
          <t>Rev Units</t>
        </is>
      </c>
    </row>
    <row r="21">
      <c r="B21" s="28">
        <f>IF(LEN(detail!M2)&lt;1,"",detail!M2)</f>
        <v/>
      </c>
      <c r="C21" s="29" t="n"/>
      <c r="D21" s="30">
        <f>IF(LEN(detail!P2)&lt;1,"",detail!P2)</f>
        <v/>
      </c>
      <c r="E21" s="29" t="n"/>
      <c r="F21" s="10">
        <f>DOLLAR(IF(LEN(detail!Z2)&lt;1,"",detail!Z2), 0) &amp; IF(detail!AA2 = 1, "*", "")</f>
        <v/>
      </c>
      <c r="G21" s="30">
        <f>IF(LEN(detail!X2)&lt;1,"",detail!X2)</f>
        <v/>
      </c>
    </row>
    <row r="22">
      <c r="B22" s="28">
        <f>IF(LEN(detail!M3)&lt;1,"",detail!M3)</f>
        <v/>
      </c>
      <c r="C22" s="29" t="n"/>
      <c r="D22" s="30">
        <f>IF(LEN(detail!P3)&lt;1,"",detail!P3)</f>
        <v/>
      </c>
      <c r="E22" s="29" t="n"/>
      <c r="F22" s="10">
        <f>DOLLAR(IF(LEN(detail!Z3)&lt;1,"",detail!Z3), 0) &amp; IF(detail!AA3 = 1, "*", "")</f>
        <v/>
      </c>
      <c r="G22" s="30">
        <f>IF(LEN(detail!X3)&lt;1,"",detail!X3)</f>
        <v/>
      </c>
    </row>
    <row r="23">
      <c r="B23" s="28">
        <f>IF(LEN(detail!M4)&lt;1,"",detail!M4)</f>
        <v/>
      </c>
      <c r="C23" s="29" t="n"/>
      <c r="D23" s="30">
        <f>IF(LEN(detail!P4)&lt;1,"",detail!P4)</f>
        <v/>
      </c>
      <c r="E23" s="29" t="n"/>
      <c r="F23" s="10">
        <f>DOLLAR(IF(LEN(detail!Z4)&lt;1,"",detail!Z4), 0) &amp; IF(detail!AA4 = 1, "*", "")</f>
        <v/>
      </c>
      <c r="G23" s="30">
        <f>IF(LEN(detail!X4)&lt;1,"",detail!X4)</f>
        <v/>
      </c>
    </row>
    <row r="24">
      <c r="B24" s="28">
        <f>IF(LEN(detail!M5)&lt;1,"",detail!M5)</f>
        <v/>
      </c>
      <c r="C24" s="29" t="n"/>
      <c r="D24" s="30">
        <f>IF(LEN(detail!P5)&lt;1,"",detail!P5)</f>
        <v/>
      </c>
      <c r="E24" s="29" t="n"/>
      <c r="F24" s="10">
        <f>DOLLAR(IF(LEN(detail!Z5)&lt;1,"",detail!Z5), 0) &amp; IF(detail!AA5 = 1, "*", "")</f>
        <v/>
      </c>
      <c r="G24" s="30">
        <f>IF(LEN(detail!X5)&lt;1,"",detail!X5)</f>
        <v/>
      </c>
    </row>
    <row r="25">
      <c r="B25" s="28">
        <f>IF(LEN(detail!M6)&lt;1,"",detail!M6)</f>
        <v/>
      </c>
      <c r="C25" s="29" t="n"/>
      <c r="D25" s="30">
        <f>IF(LEN(detail!P6)&lt;1,"",detail!P6)</f>
        <v/>
      </c>
      <c r="E25" s="29" t="n"/>
      <c r="F25" s="10">
        <f>DOLLAR(IF(LEN(detail!Z6)&lt;1,"",detail!Z6), 0) &amp; IF(detail!AA6 = 1, "*", "")</f>
        <v/>
      </c>
      <c r="G25" s="30">
        <f>IF(LEN(detail!X6)&lt;1,"",detail!X6)</f>
        <v/>
      </c>
    </row>
    <row r="26">
      <c r="B26" s="28">
        <f>IF(LEN(detail!M7)&lt;1,"",detail!M7)</f>
        <v/>
      </c>
      <c r="C26" s="29" t="n"/>
      <c r="D26" s="30">
        <f>IF(LEN(detail!P7)&lt;1,"",detail!P7)</f>
        <v/>
      </c>
      <c r="E26" s="29" t="n"/>
      <c r="F26" s="10">
        <f>DOLLAR(IF(LEN(detail!Z7)&lt;1,"",detail!Z7), 0) &amp; IF(detail!AA7 = 1, "*", "")</f>
        <v/>
      </c>
      <c r="G26" s="30">
        <f>IF(LEN(detail!X7)&lt;1,"",detail!X7)</f>
        <v/>
      </c>
    </row>
    <row r="27">
      <c r="B27" s="28">
        <f>IF(LEN(detail!M8)&lt;1,"",detail!M8)</f>
        <v/>
      </c>
      <c r="C27" s="29" t="n"/>
      <c r="D27" s="30">
        <f>IF(LEN(detail!P8)&lt;1,"",detail!P8)</f>
        <v/>
      </c>
      <c r="E27" s="29" t="n"/>
      <c r="F27" s="10">
        <f>DOLLAR(IF(LEN(detail!Z8)&lt;1,"",detail!Z8), 0) &amp; IF(detail!AA8 = 1, "*", "")</f>
        <v/>
      </c>
      <c r="G27" s="30">
        <f>IF(LEN(detail!X8)&lt;1,"",detail!X8)</f>
        <v/>
      </c>
    </row>
    <row r="28">
      <c r="B28" s="28">
        <f>IF(LEN(detail!M9)&lt;1,"",detail!M9)</f>
        <v/>
      </c>
      <c r="C28" s="29" t="n"/>
      <c r="D28" s="30">
        <f>IF(LEN(detail!P9)&lt;1,"",detail!P9)</f>
        <v/>
      </c>
      <c r="E28" s="29" t="n"/>
      <c r="F28" s="10">
        <f>DOLLAR(IF(LEN(detail!Z9)&lt;1,"",detail!Z9), 0) &amp; IF(detail!AA9 = 1, "*", "")</f>
        <v/>
      </c>
      <c r="G28" s="30">
        <f>IF(LEN(detail!X9)&lt;1,"",detail!X9)</f>
        <v/>
      </c>
    </row>
    <row r="29">
      <c r="B29" s="28">
        <f>IF(LEN(detail!M10)&lt;1,"",detail!M10)</f>
        <v/>
      </c>
      <c r="C29" s="29" t="n"/>
      <c r="D29" s="30">
        <f>IF(LEN(detail!P10)&lt;1,"",detail!P10)</f>
        <v/>
      </c>
      <c r="E29" s="29" t="n"/>
      <c r="F29" s="10">
        <f>DOLLAR(IF(LEN(detail!Z10)&lt;1,"",detail!Z10), 0) &amp; IF(detail!AA10 = 1, "*", "")</f>
        <v/>
      </c>
      <c r="G29" s="30">
        <f>IF(LEN(detail!X10)&lt;1,"",detail!X10)</f>
        <v/>
      </c>
    </row>
    <row r="30">
      <c r="B30" s="28">
        <f>IF(LEN(detail!M11)&lt;1,"",detail!M11)</f>
        <v/>
      </c>
      <c r="C30" s="29" t="n"/>
      <c r="D30" s="30">
        <f>IF(LEN(detail!P11)&lt;1,"",detail!P11)</f>
        <v/>
      </c>
      <c r="E30" s="29" t="n"/>
      <c r="F30" s="10">
        <f>DOLLAR(IF(LEN(detail!Z11)&lt;1,"",detail!Z11), 0) &amp; IF(detail!AA11 = 1, "*", "")</f>
        <v/>
      </c>
      <c r="G30" s="30">
        <f>IF(LEN(detail!X11)&lt;1,"",detail!X11)</f>
        <v/>
      </c>
    </row>
    <row r="31">
      <c r="B31" s="28">
        <f>IF(LEN(detail!M12)&lt;1,"",detail!M12)</f>
        <v/>
      </c>
      <c r="C31" s="29" t="n"/>
      <c r="D31" s="30">
        <f>IF(LEN(detail!P12)&lt;1,"",detail!P12)</f>
        <v/>
      </c>
      <c r="E31" s="29" t="n"/>
      <c r="F31" s="10">
        <f>DOLLAR(IF(LEN(detail!Z12)&lt;1,"",detail!Z12), 0) &amp; IF(detail!AA12 = 1, "*", "")</f>
        <v/>
      </c>
      <c r="G31" s="30">
        <f>IF(LEN(detail!X12)&lt;1,"",detail!X12)</f>
        <v/>
      </c>
    </row>
    <row r="32">
      <c r="B32" s="28">
        <f>IF(LEN(detail!M13)&lt;1,"",detail!M13)</f>
        <v/>
      </c>
      <c r="C32" s="29" t="n"/>
      <c r="D32" s="30">
        <f>IF(LEN(detail!P13)&lt;1,"",detail!P13)</f>
        <v/>
      </c>
      <c r="E32" s="29" t="n"/>
      <c r="F32" s="10">
        <f>DOLLAR(IF(LEN(detail!Z13)&lt;1,"",detail!Z13), 0) &amp; IF(detail!AA13 = 1, "*", "")</f>
        <v/>
      </c>
      <c r="G32" s="30">
        <f>IF(LEN(detail!X13)&lt;1,"",detail!X13)</f>
        <v/>
      </c>
    </row>
    <row r="33">
      <c r="B33" s="28">
        <f>IF(LEN(detail!M14)&lt;1,"",detail!M14)</f>
        <v/>
      </c>
      <c r="C33" s="29" t="n"/>
      <c r="D33" s="30">
        <f>IF(LEN(detail!P14)&lt;1,"",detail!P14)</f>
        <v/>
      </c>
      <c r="E33" s="29" t="n"/>
      <c r="F33" s="10">
        <f>DOLLAR(IF(LEN(detail!Z14)&lt;1,"",detail!Z14), 0) &amp; IF(detail!AA14 = 1, "*", "")</f>
        <v/>
      </c>
      <c r="G33" s="30">
        <f>IF(LEN(detail!X14)&lt;1,"",detail!X14)</f>
        <v/>
      </c>
    </row>
    <row r="34">
      <c r="B34" s="28">
        <f>IF(LEN(detail!M15)&lt;1,"",detail!M15)</f>
        <v/>
      </c>
      <c r="C34" s="29" t="n"/>
      <c r="D34" s="30">
        <f>IF(LEN(detail!P15)&lt;1,"",detail!P15)</f>
        <v/>
      </c>
      <c r="E34" s="29" t="n"/>
      <c r="F34" s="10">
        <f>DOLLAR(IF(LEN(detail!Z15)&lt;1,"",detail!Z15), 0) &amp; IF(detail!AA15 = 1, "*", "")</f>
        <v/>
      </c>
      <c r="G34" s="30">
        <f>IF(LEN(detail!X15)&lt;1,"",detail!X15)</f>
        <v/>
      </c>
    </row>
    <row r="35">
      <c r="B35" s="28">
        <f>IF(LEN(detail!M16)&lt;1,"",detail!M16)</f>
        <v/>
      </c>
      <c r="C35" s="29" t="n"/>
      <c r="D35" s="30">
        <f>IF(LEN(detail!P16)&lt;1,"",detail!P16)</f>
        <v/>
      </c>
      <c r="E35" s="29" t="n"/>
      <c r="F35" s="10">
        <f>DOLLAR(IF(LEN(detail!Z16)&lt;1,"",detail!Z16), 0) &amp; IF(detail!AA16 = 1, "*", "")</f>
        <v/>
      </c>
      <c r="G35" s="30">
        <f>IF(LEN(detail!X16)&lt;1,"",detail!X16)</f>
        <v/>
      </c>
    </row>
    <row r="36">
      <c r="B36" s="28">
        <f>IF(LEN(detail!M17)&lt;1,"",detail!M17)</f>
        <v/>
      </c>
      <c r="C36" s="29" t="n"/>
      <c r="D36" s="30">
        <f>IF(LEN(detail!P17)&lt;1,"",detail!P17)</f>
        <v/>
      </c>
      <c r="E36" s="29" t="n"/>
      <c r="F36" s="10">
        <f>DOLLAR(IF(LEN(detail!Z17)&lt;1,"",detail!Z17), 0) &amp; IF(detail!AA17 = 1, "*", "")</f>
        <v/>
      </c>
      <c r="G36" s="30">
        <f>IF(LEN(detail!X17)&lt;1,"",detail!X17)</f>
        <v/>
      </c>
    </row>
    <row r="37">
      <c r="B37" s="28">
        <f>IF(LEN(detail!M18)&lt;1,"",detail!M18)</f>
        <v/>
      </c>
      <c r="C37" s="29" t="n"/>
      <c r="D37" s="30">
        <f>IF(LEN(detail!P18)&lt;1,"",detail!P18)</f>
        <v/>
      </c>
      <c r="E37" s="29" t="n"/>
      <c r="F37" s="10">
        <f>DOLLAR(IF(LEN(detail!Z18)&lt;1,"",detail!Z18), 0) &amp; IF(detail!AA18 = 1, "*", "")</f>
        <v/>
      </c>
      <c r="G37" s="30">
        <f>IF(LEN(detail!X18)&lt;1,"",detail!X18)</f>
        <v/>
      </c>
    </row>
    <row r="38">
      <c r="B38" s="28">
        <f>IF(LEN(detail!M19)&lt;1,"",detail!M19)</f>
        <v/>
      </c>
      <c r="C38" s="29" t="n"/>
      <c r="D38" s="30">
        <f>IF(LEN(detail!P19)&lt;1,"",detail!P19)</f>
        <v/>
      </c>
      <c r="E38" s="29" t="n"/>
      <c r="F38" s="10">
        <f>DOLLAR(IF(LEN(detail!Z19)&lt;1,"",detail!Z19), 0) &amp; IF(detail!AA19 = 1, "*", "")</f>
        <v/>
      </c>
      <c r="G38" s="30">
        <f>IF(LEN(detail!X19)&lt;1,"",detail!X19)</f>
        <v/>
      </c>
    </row>
    <row r="39">
      <c r="B39" s="28">
        <f>IF(LEN(detail!M20)&lt;1,"",detail!M20)</f>
        <v/>
      </c>
      <c r="C39" s="29" t="n"/>
      <c r="D39" s="30">
        <f>IF(LEN(detail!P20)&lt;1,"",detail!P20)</f>
        <v/>
      </c>
      <c r="E39" s="29" t="n"/>
      <c r="F39" s="10">
        <f>DOLLAR(IF(LEN(detail!Z20)&lt;1,"",detail!Z20), 0) &amp; IF(detail!AA20 = 1, "*", "")</f>
        <v/>
      </c>
      <c r="G39" s="30">
        <f>IF(LEN(detail!X20)&lt;1,"",detail!X20)</f>
        <v/>
      </c>
    </row>
    <row r="40">
      <c r="B40" s="28">
        <f>IF(LEN(detail!M21)&lt;1,"",detail!M21)</f>
        <v/>
      </c>
      <c r="C40" s="29" t="n"/>
      <c r="D40" s="30">
        <f>IF(LEN(detail!P21)&lt;1,"",detail!P21)</f>
        <v/>
      </c>
      <c r="E40" s="29" t="n"/>
      <c r="F40" s="10">
        <f>DOLLAR(IF(LEN(detail!Z21)&lt;1,"",detail!Z21), 0) &amp; IF(detail!AA21 = 1, "*", "")</f>
        <v/>
      </c>
      <c r="G40" s="30">
        <f>IF(LEN(detail!X21)&lt;1,"",detail!X21)</f>
        <v/>
      </c>
    </row>
    <row r="41">
      <c r="B41" s="28">
        <f>IF(LEN(detail!M22)&lt;1,"",detail!M22)</f>
        <v/>
      </c>
      <c r="C41" s="29" t="n"/>
      <c r="D41" s="30">
        <f>IF(LEN(detail!P22)&lt;1,"",detail!P22)</f>
        <v/>
      </c>
      <c r="E41" s="29" t="n"/>
      <c r="F41" s="10">
        <f>DOLLAR(IF(LEN(detail!Z22)&lt;1,"",detail!Z22), 0) &amp; IF(detail!AA22 = 1, "*", "")</f>
        <v/>
      </c>
      <c r="G41" s="30">
        <f>IF(LEN(detail!X22)&lt;1,"",detail!X22)</f>
        <v/>
      </c>
    </row>
    <row r="42">
      <c r="B42" s="28">
        <f>IF(LEN(detail!M23)&lt;1,"",detail!M23)</f>
        <v/>
      </c>
      <c r="C42" s="29" t="n"/>
      <c r="D42" s="30">
        <f>IF(LEN(detail!P23)&lt;1,"",detail!P23)</f>
        <v/>
      </c>
      <c r="E42" s="29" t="n"/>
      <c r="F42" s="10">
        <f>DOLLAR(IF(LEN(detail!Z23)&lt;1,"",detail!Z23), 0) &amp; IF(detail!AA23 = 1, "*", "")</f>
        <v/>
      </c>
      <c r="G42" s="30">
        <f>IF(LEN(detail!X23)&lt;1,"",detail!X23)</f>
        <v/>
      </c>
    </row>
    <row r="43">
      <c r="B43" s="28">
        <f>IF(LEN(detail!M24)&lt;1,"",detail!M24)</f>
        <v/>
      </c>
      <c r="C43" s="29" t="n"/>
      <c r="D43" s="30">
        <f>IF(LEN(detail!P24)&lt;1,"",detail!P24)</f>
        <v/>
      </c>
      <c r="E43" s="29" t="n"/>
      <c r="F43" s="10">
        <f>DOLLAR(IF(LEN(detail!Z24)&lt;1,"",detail!Z24), 0) &amp; IF(detail!AA24 = 1, "*", "")</f>
        <v/>
      </c>
      <c r="G43" s="30">
        <f>IF(LEN(detail!X24)&lt;1,"",detail!X24)</f>
        <v/>
      </c>
    </row>
    <row r="44">
      <c r="B44" s="28">
        <f>IF(LEN(detail!M25)&lt;1,"",detail!M25)</f>
        <v/>
      </c>
      <c r="C44" s="29" t="n"/>
      <c r="D44" s="30">
        <f>IF(LEN(detail!P25)&lt;1,"",detail!P25)</f>
        <v/>
      </c>
      <c r="E44" s="29" t="n"/>
      <c r="F44" s="10">
        <f>DOLLAR(IF(LEN(detail!Z25)&lt;1,"",detail!Z25), 0) &amp; IF(detail!AA25 = 1, "*", "")</f>
        <v/>
      </c>
      <c r="G44" s="30">
        <f>IF(LEN(detail!X25)&lt;1,"",detail!X25)</f>
        <v/>
      </c>
    </row>
    <row r="45">
      <c r="B45" s="28">
        <f>IF(LEN(detail!M26)&lt;1,"",detail!M26)</f>
        <v/>
      </c>
      <c r="C45" s="29" t="n"/>
      <c r="D45" s="30">
        <f>IF(LEN(detail!P26)&lt;1,"",detail!P26)</f>
        <v/>
      </c>
      <c r="E45" s="29" t="n"/>
      <c r="F45" s="10">
        <f>DOLLAR(IF(LEN(detail!Z26)&lt;1,"",detail!Z26), 0) &amp; IF(detail!AA26 = 1, "*", "")</f>
        <v/>
      </c>
      <c r="G45" s="30">
        <f>IF(LEN(detail!X26)&lt;1,"",detail!X26)</f>
        <v/>
      </c>
    </row>
    <row r="46">
      <c r="B46" s="28">
        <f>IF(LEN(detail!M27)&lt;1,"",detail!M27)</f>
        <v/>
      </c>
      <c r="C46" s="29" t="n"/>
      <c r="D46" s="30">
        <f>IF(LEN(detail!P27)&lt;1,"",detail!P27)</f>
        <v/>
      </c>
      <c r="E46" s="29" t="n"/>
      <c r="F46" s="10">
        <f>DOLLAR(IF(LEN(detail!Z27)&lt;1,"",detail!Z27), 0) &amp; IF(detail!AA27 = 1, "*", "")</f>
        <v/>
      </c>
      <c r="G46" s="30">
        <f>IF(LEN(detail!X27)&lt;1,"",detail!X27)</f>
        <v/>
      </c>
    </row>
    <row r="47">
      <c r="B47" s="28">
        <f>IF(LEN(detail!M28)&lt;1,"",detail!M28)</f>
        <v/>
      </c>
      <c r="C47" s="29" t="n"/>
      <c r="D47" s="30">
        <f>IF(LEN(detail!P28)&lt;1,"",detail!P28)</f>
        <v/>
      </c>
      <c r="E47" s="29" t="n"/>
      <c r="F47" s="10">
        <f>DOLLAR(IF(LEN(detail!Z28)&lt;1,"",detail!Z28), 0) &amp; IF(detail!AA28 = 1, "*", "")</f>
        <v/>
      </c>
      <c r="G47" s="30">
        <f>IF(LEN(detail!X28)&lt;1,"",detail!X28)</f>
        <v/>
      </c>
    </row>
    <row r="48">
      <c r="B48" s="28">
        <f>IF(LEN(detail!M29)&lt;1,"",detail!M29)</f>
        <v/>
      </c>
      <c r="C48" s="29" t="n"/>
      <c r="D48" s="30">
        <f>IF(LEN(detail!P29)&lt;1,"",detail!P29)</f>
        <v/>
      </c>
      <c r="E48" s="29" t="n"/>
      <c r="F48" s="10">
        <f>DOLLAR(IF(LEN(detail!Z29)&lt;1,"",detail!Z29), 0) &amp; IF(detail!AA29 = 1, "*", "")</f>
        <v/>
      </c>
      <c r="G48" s="30">
        <f>IF(LEN(detail!X29)&lt;1,"",detail!X29)</f>
        <v/>
      </c>
    </row>
    <row r="49">
      <c r="B49" s="28">
        <f>IF(LEN(detail!M30)&lt;1,"",detail!M30)</f>
        <v/>
      </c>
      <c r="C49" s="29" t="n"/>
      <c r="D49" s="30">
        <f>IF(LEN(detail!P30)&lt;1,"",detail!P30)</f>
        <v/>
      </c>
      <c r="E49" s="29" t="n"/>
      <c r="F49" s="10">
        <f>DOLLAR(IF(LEN(detail!Z30)&lt;1,"",detail!Z30), 0) &amp; IF(detail!AA30 = 1, "*", "")</f>
        <v/>
      </c>
      <c r="G49" s="30">
        <f>IF(LEN(detail!X30)&lt;1,"",detail!X30)</f>
        <v/>
      </c>
    </row>
    <row r="50">
      <c r="B50" s="28">
        <f>IF(LEN(detail!M31)&lt;1,"",detail!M31)</f>
        <v/>
      </c>
      <c r="C50" s="29" t="n"/>
      <c r="D50" s="30">
        <f>IF(LEN(detail!P31)&lt;1,"",detail!P31)</f>
        <v/>
      </c>
      <c r="E50" s="29" t="n"/>
      <c r="F50" s="10">
        <f>DOLLAR(IF(LEN(detail!Z31)&lt;1,"",detail!Z31), 0) &amp; IF(detail!AA31 = 1, "*", "")</f>
        <v/>
      </c>
      <c r="G50" s="30">
        <f>IF(LEN(detail!X31)&lt;1,"",detail!X31)</f>
        <v/>
      </c>
    </row>
    <row r="51">
      <c r="B51" s="28">
        <f>IF(LEN(detail!M32)&lt;1,"",detail!M32)</f>
        <v/>
      </c>
      <c r="C51" s="29" t="n"/>
      <c r="D51" s="30">
        <f>IF(LEN(detail!P32)&lt;1,"",detail!P32)</f>
        <v/>
      </c>
      <c r="E51" s="29" t="n"/>
      <c r="F51" s="10">
        <f>DOLLAR(IF(LEN(detail!Z32)&lt;1,"",detail!Z32), 0) &amp; IF(detail!AA32 = 1, "*", "")</f>
        <v/>
      </c>
      <c r="G51" s="30">
        <f>IF(LEN(detail!X32)&lt;1,"",detail!X32)</f>
        <v/>
      </c>
    </row>
    <row r="52">
      <c r="B52" s="28">
        <f>IF(LEN(detail!M33)&lt;1,"",detail!M33)</f>
        <v/>
      </c>
      <c r="C52" s="29" t="n"/>
      <c r="D52" s="30">
        <f>IF(LEN(detail!P33)&lt;1,"",detail!P33)</f>
        <v/>
      </c>
      <c r="E52" s="29" t="n"/>
      <c r="F52" s="10">
        <f>DOLLAR(IF(LEN(detail!Z33)&lt;1,"",detail!Z33), 0) &amp; IF(detail!AA33 = 1, "*", "")</f>
        <v/>
      </c>
      <c r="G52" s="30">
        <f>IF(LEN(detail!X33)&lt;1,"",detail!X33)</f>
        <v/>
      </c>
    </row>
    <row r="53">
      <c r="B53" s="28">
        <f>IF(LEN(detail!M34)&lt;1,"",detail!M34)</f>
        <v/>
      </c>
      <c r="C53" s="29" t="n"/>
      <c r="D53" s="30">
        <f>IF(LEN(detail!P34)&lt;1,"",detail!P34)</f>
        <v/>
      </c>
      <c r="E53" s="29" t="n"/>
      <c r="F53" s="10">
        <f>DOLLAR(IF(LEN(detail!Z34)&lt;1,"",detail!Z34), 0) &amp; IF(detail!AA34 = 1, "*", "")</f>
        <v/>
      </c>
      <c r="G53" s="30">
        <f>IF(LEN(detail!X34)&lt;1,"",detail!X34)</f>
        <v/>
      </c>
    </row>
    <row r="54">
      <c r="B54" s="28">
        <f>IF(LEN(detail!M35)&lt;1,"",detail!M35)</f>
        <v/>
      </c>
      <c r="C54" s="29" t="n"/>
      <c r="D54" s="30">
        <f>IF(LEN(detail!P35)&lt;1,"",detail!P35)</f>
        <v/>
      </c>
      <c r="E54" s="29" t="n"/>
      <c r="F54" s="10">
        <f>DOLLAR(IF(LEN(detail!Z35)&lt;1,"",detail!Z35), 0) &amp; IF(detail!AA35 = 1, "*", "")</f>
        <v/>
      </c>
      <c r="G54" s="30">
        <f>IF(LEN(detail!X35)&lt;1,"",detail!X35)</f>
        <v/>
      </c>
    </row>
    <row r="55">
      <c r="B55" s="28">
        <f>IF(LEN(detail!M36)&lt;1,"",detail!M36)</f>
        <v/>
      </c>
      <c r="C55" s="29" t="n"/>
      <c r="D55" s="30">
        <f>IF(LEN(detail!P36)&lt;1,"",detail!P36)</f>
        <v/>
      </c>
      <c r="E55" s="29" t="n"/>
      <c r="F55" s="10">
        <f>DOLLAR(IF(LEN(detail!Z36)&lt;1,"",detail!Z36), 0) &amp; IF(detail!AA36 = 1, "*", "")</f>
        <v/>
      </c>
      <c r="G55" s="30">
        <f>IF(LEN(detail!X36)&lt;1,"",detail!X36)</f>
        <v/>
      </c>
    </row>
    <row r="56">
      <c r="B56" s="28">
        <f>IF(LEN(detail!M37)&lt;1,"",detail!M37)</f>
        <v/>
      </c>
      <c r="C56" s="29" t="n"/>
      <c r="D56" s="30">
        <f>IF(LEN(detail!P37)&lt;1,"",detail!P37)</f>
        <v/>
      </c>
      <c r="E56" s="29" t="n"/>
      <c r="F56" s="10">
        <f>DOLLAR(IF(LEN(detail!Z37)&lt;1,"",detail!Z37), 0) &amp; IF(detail!AA37 = 1, "*", "")</f>
        <v/>
      </c>
      <c r="G56" s="30">
        <f>IF(LEN(detail!X37)&lt;1,"",detail!X37)</f>
        <v/>
      </c>
    </row>
    <row r="57">
      <c r="B57" s="1" t="inlineStr">
        <is>
          <t>* An asterisk denotes that the opp includes a rebate</t>
        </is>
      </c>
    </row>
  </sheetData>
  <mergeCells count="82">
    <mergeCell ref="D20:E20"/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44:C44"/>
    <mergeCell ref="B34:C34"/>
    <mergeCell ref="B28:C28"/>
    <mergeCell ref="D28:E28"/>
    <mergeCell ref="B9:C9"/>
    <mergeCell ref="D25:E25"/>
    <mergeCell ref="B30:C30"/>
    <mergeCell ref="D55:E55"/>
    <mergeCell ref="D30:E30"/>
    <mergeCell ref="B20:C20"/>
    <mergeCell ref="B45:C45"/>
    <mergeCell ref="D54:E54"/>
    <mergeCell ref="B47:C47"/>
    <mergeCell ref="B46:C46"/>
    <mergeCell ref="D46:E46"/>
    <mergeCell ref="D40:E40"/>
    <mergeCell ref="D21:E21"/>
    <mergeCell ref="B39:C39"/>
    <mergeCell ref="B19:G19"/>
    <mergeCell ref="B48:C48"/>
    <mergeCell ref="E10:F10"/>
    <mergeCell ref="B23:C23"/>
    <mergeCell ref="D32:E32"/>
    <mergeCell ref="D41:E41"/>
    <mergeCell ref="D43:E43"/>
    <mergeCell ref="E11:F11"/>
    <mergeCell ref="D42:E42"/>
    <mergeCell ref="B36:C36"/>
    <mergeCell ref="B50:C50"/>
    <mergeCell ref="D50:E50"/>
    <mergeCell ref="D44:E44"/>
  </mergeCells>
  <conditionalFormatting sqref="B21:B56 D21:D56 F21:G56">
    <cfRule type="containsErrors" priority="1" dxfId="0">
      <formula>ISERROR(B21)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mbrown@cvrx.com</t>
        </is>
      </c>
      <c r="C2" t="inlineStr">
        <is>
          <t>2026_Q1</t>
        </is>
      </c>
      <c r="D2" t="inlineStr">
        <is>
          <t>ASD</t>
        </is>
      </c>
      <c r="E2" t="inlineStr">
        <is>
          <t>ACTIVE</t>
        </is>
      </c>
      <c r="F2" t="n">
        <v>10458</v>
      </c>
      <c r="G2" t="inlineStr">
        <is>
          <t>YTD_PO</t>
        </is>
      </c>
    </row>
    <row r="3">
      <c r="A3" t="inlineStr">
        <is>
          <t>2026_01</t>
        </is>
      </c>
      <c r="B3" t="inlineStr">
        <is>
          <t>mbrown@cvrx.com</t>
        </is>
      </c>
      <c r="C3" t="inlineStr">
        <is>
          <t>2026_Q1</t>
        </is>
      </c>
      <c r="D3" t="inlineStr">
        <is>
          <t>ASD</t>
        </is>
      </c>
      <c r="E3" t="inlineStr">
        <is>
          <t>ACTIVE</t>
        </is>
      </c>
      <c r="F3" t="n">
        <v>418337.08</v>
      </c>
      <c r="G3" t="inlineStr">
        <is>
          <t>SALES</t>
        </is>
      </c>
    </row>
    <row r="4">
      <c r="A4" t="inlineStr">
        <is>
          <t>2026_01</t>
        </is>
      </c>
      <c r="B4" t="inlineStr">
        <is>
          <t>mbrown@cvrx.com</t>
        </is>
      </c>
      <c r="C4" t="inlineStr">
        <is>
          <t>2026_Q1</t>
        </is>
      </c>
      <c r="D4" t="inlineStr">
        <is>
          <t>ASD</t>
        </is>
      </c>
      <c r="E4" t="inlineStr">
        <is>
          <t>ACTIVE</t>
        </is>
      </c>
      <c r="F4" t="n">
        <v>10458.43</v>
      </c>
      <c r="G4" t="inlineStr">
        <is>
          <t>L1_PO</t>
        </is>
      </c>
    </row>
    <row r="5">
      <c r="A5" t="inlineStr">
        <is>
          <t>2026_01</t>
        </is>
      </c>
      <c r="B5" t="inlineStr">
        <is>
          <t>mbrown@cvrx.com</t>
        </is>
      </c>
      <c r="C5" t="inlineStr">
        <is>
          <t>2026_Q1</t>
        </is>
      </c>
      <c r="D5" t="inlineStr">
        <is>
          <t>ASD</t>
        </is>
      </c>
      <c r="E5" t="inlineStr">
        <is>
          <t>ACTIVE</t>
        </is>
      </c>
      <c r="F5" t="n">
        <v>0</v>
      </c>
      <c r="G5" t="inlineStr">
        <is>
          <t>L2_PO</t>
        </is>
      </c>
    </row>
    <row r="6">
      <c r="A6" t="inlineStr">
        <is>
          <t>2026_01</t>
        </is>
      </c>
      <c r="B6" t="inlineStr">
        <is>
          <t>mbrown@cvrx.com</t>
        </is>
      </c>
      <c r="C6" t="inlineStr">
        <is>
          <t>2026_Q1</t>
        </is>
      </c>
      <c r="D6" t="inlineStr">
        <is>
          <t>ASD</t>
        </is>
      </c>
      <c r="E6" t="inlineStr">
        <is>
          <t>ACTIVE</t>
        </is>
      </c>
      <c r="F6" t="n">
        <v>418337.08</v>
      </c>
      <c r="G6" t="inlineStr">
        <is>
          <t>L1_REV</t>
        </is>
      </c>
    </row>
    <row r="7">
      <c r="A7" t="inlineStr">
        <is>
          <t>2026_01</t>
        </is>
      </c>
      <c r="B7" t="inlineStr">
        <is>
          <t>mbrown@cvrx.com</t>
        </is>
      </c>
      <c r="C7" t="inlineStr">
        <is>
          <t>2026_Q1</t>
        </is>
      </c>
      <c r="D7" t="inlineStr">
        <is>
          <t>ASD</t>
        </is>
      </c>
      <c r="E7" t="inlineStr">
        <is>
          <t>ACTIVE</t>
        </is>
      </c>
      <c r="F7" t="n">
        <v>0</v>
      </c>
      <c r="G7" t="inlineStr">
        <is>
          <t>L2_REV</t>
        </is>
      </c>
    </row>
    <row r="8">
      <c r="A8" t="inlineStr">
        <is>
          <t>2026_01</t>
        </is>
      </c>
      <c r="B8" t="inlineStr">
        <is>
          <t>mbrown@cvrx.com</t>
        </is>
      </c>
      <c r="C8" t="inlineStr">
        <is>
          <t>2026_Q1</t>
        </is>
      </c>
      <c r="D8" t="inlineStr">
        <is>
          <t>ASD</t>
        </is>
      </c>
      <c r="E8" t="inlineStr">
        <is>
          <t>ACTIVE</t>
        </is>
      </c>
      <c r="F8" t="n">
        <v>10458.43</v>
      </c>
      <c r="G8" t="inlineStr">
        <is>
          <t>TTL_PO</t>
        </is>
      </c>
    </row>
    <row r="9">
      <c r="A9" t="inlineStr">
        <is>
          <t>2026_01</t>
        </is>
      </c>
      <c r="B9" t="inlineStr">
        <is>
          <t>mbrown@cvrx.com</t>
        </is>
      </c>
      <c r="C9" t="inlineStr">
        <is>
          <t>2026_Q1</t>
        </is>
      </c>
      <c r="D9" t="inlineStr">
        <is>
          <t>ASD</t>
        </is>
      </c>
      <c r="E9" t="inlineStr">
        <is>
          <t>ACTIVE</t>
        </is>
      </c>
      <c r="F9" t="n">
        <v>10458.43</v>
      </c>
      <c r="G9" t="inlineStr">
        <is>
          <t>PO_AMT</t>
        </is>
      </c>
    </row>
    <row r="10">
      <c r="A10" t="inlineStr">
        <is>
          <t>2026_01</t>
        </is>
      </c>
      <c r="B10" t="inlineStr">
        <is>
          <t>mbrown@cvrx.com</t>
        </is>
      </c>
      <c r="C10" t="inlineStr">
        <is>
          <t>2026_Q1</t>
        </is>
      </c>
      <c r="D10" t="inlineStr">
        <is>
          <t>ASD</t>
        </is>
      </c>
      <c r="E10" t="inlineStr">
        <is>
          <t>ACTIVE</t>
        </is>
      </c>
      <c r="F10" t="n">
        <v>12</v>
      </c>
      <c r="G10" t="inlineStr">
        <is>
          <t>REVENUE_UNITS</t>
        </is>
      </c>
    </row>
    <row r="11">
      <c r="A11" t="inlineStr">
        <is>
          <t>2026_01</t>
        </is>
      </c>
      <c r="B11" t="inlineStr">
        <is>
          <t>mbrown@cvrx.com</t>
        </is>
      </c>
      <c r="C11" t="inlineStr">
        <is>
          <t>2026_Q1</t>
        </is>
      </c>
      <c r="D11" t="inlineStr">
        <is>
          <t>ASD</t>
        </is>
      </c>
      <c r="E11" t="inlineStr">
        <is>
          <t>ACTIVE</t>
        </is>
      </c>
      <c r="F11" t="n">
        <v>16</v>
      </c>
      <c r="G11" t="inlineStr">
        <is>
          <t>IMPLANT_UNITS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1.140625" bestFit="1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Mike Brown</t>
        </is>
      </c>
    </row>
    <row r="2">
      <c r="A2" t="inlineStr">
        <is>
          <t>First Name:</t>
        </is>
      </c>
      <c r="B2" t="inlineStr">
        <is>
          <t>Mike</t>
        </is>
      </c>
    </row>
    <row r="3">
      <c r="A3" t="inlineStr">
        <is>
          <t>Last Name:</t>
        </is>
      </c>
      <c r="B3" t="inlineStr">
        <is>
          <t>Brown</t>
        </is>
      </c>
    </row>
    <row r="4">
      <c r="A4" t="inlineStr">
        <is>
          <t>Email:</t>
        </is>
      </c>
      <c r="B4" t="inlineStr">
        <is>
          <t>mbrown@cvrx.com</t>
        </is>
      </c>
    </row>
    <row r="5">
      <c r="A5" t="inlineStr">
        <is>
          <t>Territory:</t>
        </is>
      </c>
      <c r="B5" t="inlineStr">
        <is>
          <t>PACIFIC</t>
        </is>
      </c>
    </row>
    <row r="6">
      <c r="A6" t="inlineStr">
        <is>
          <t>Role:</t>
        </is>
      </c>
      <c r="B6" t="inlineStr">
        <is>
          <t>Area Sales Director</t>
        </is>
      </c>
    </row>
    <row r="7">
      <c r="A7" t="inlineStr">
        <is>
          <t>Month:</t>
        </is>
      </c>
      <c r="B7" t="inlineStr">
        <is>
          <t>January</t>
        </is>
      </c>
    </row>
    <row r="22" ht="15.95" customHeight="1"/>
    <row r="23" ht="15.95" customHeight="1"/>
    <row r="24" ht="3.95" customHeight="1"/>
    <row r="25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REGION_NM</t>
        </is>
      </c>
      <c r="B1" t="inlineStr">
        <is>
          <t>REGION_ID</t>
        </is>
      </c>
      <c r="C1" t="inlineStr">
        <is>
          <t>SALES_CREDIT_ASD_EMAIL</t>
        </is>
      </c>
      <c r="D1" t="inlineStr">
        <is>
          <t>SALES_CREDIT_REP_EMAIL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</t>
        </is>
      </c>
      <c r="H1" t="inlineStr">
        <is>
          <t>CLOSE_YYYYQQ</t>
        </is>
      </c>
      <c r="I1" t="inlineStr">
        <is>
          <t>IMPLANTED_DT</t>
        </is>
      </c>
      <c r="J1" t="inlineStr">
        <is>
          <t>IMPLANTED_YYYYMM</t>
        </is>
      </c>
      <c r="K1" t="inlineStr">
        <is>
          <t>IMPLANTED_YYYYQQ</t>
        </is>
      </c>
      <c r="L1" t="inlineStr">
        <is>
          <t>IMPLANTED_YYYY</t>
        </is>
      </c>
      <c r="M1" t="inlineStr">
        <is>
          <t>ACCOUNT_INDICATION__C</t>
        </is>
      </c>
      <c r="N1" t="inlineStr">
        <is>
          <t>ACT_ID</t>
        </is>
      </c>
      <c r="O1" t="inlineStr">
        <is>
          <t>DHC_IDN_NAME__C</t>
        </is>
      </c>
      <c r="P1" t="inlineStr">
        <is>
          <t>OPP_NAME</t>
        </is>
      </c>
      <c r="Q1" t="inlineStr">
        <is>
          <t>OPP_ID</t>
        </is>
      </c>
      <c r="R1" t="inlineStr">
        <is>
          <t>PHYSICIAN</t>
        </is>
      </c>
      <c r="S1" t="inlineStr">
        <is>
          <t>PHYSICIAN_ID</t>
        </is>
      </c>
      <c r="T1" t="inlineStr">
        <is>
          <t>INDICATION_FOR_USE__C</t>
        </is>
      </c>
      <c r="U1" t="inlineStr">
        <is>
          <t>REASON_FOR_IMPLANT__C</t>
        </is>
      </c>
      <c r="V1" t="inlineStr">
        <is>
          <t>ISIMPL</t>
        </is>
      </c>
      <c r="W1" t="inlineStr">
        <is>
          <t>IMPLANT_UNITS</t>
        </is>
      </c>
      <c r="X1" t="inlineStr">
        <is>
          <t>REVENUE_UNITS</t>
        </is>
      </c>
      <c r="Y1" t="inlineStr">
        <is>
          <t>SALES</t>
        </is>
      </c>
      <c r="Z1" t="inlineStr">
        <is>
          <t>SALES_COMMISSIONABLE</t>
        </is>
      </c>
      <c r="AA1" t="inlineStr">
        <is>
          <t>REBATE?</t>
        </is>
      </c>
      <c r="AB1" t="inlineStr">
        <is>
          <t>ASP</t>
        </is>
      </c>
      <c r="AC1" t="inlineStr">
        <is>
          <t>THRESHOLD</t>
        </is>
      </c>
      <c r="AD1" t="inlineStr">
        <is>
          <t>PLAN</t>
        </is>
      </c>
      <c r="AE1" t="inlineStr">
        <is>
          <t>L1 Rate</t>
        </is>
      </c>
      <c r="AF1" t="inlineStr">
        <is>
          <t>L2 Rate</t>
        </is>
      </c>
      <c r="AG1" t="inlineStr">
        <is>
          <t>QTD_SALES_COMMISSIONABLE</t>
        </is>
      </c>
      <c r="AH1" t="inlineStr">
        <is>
          <t>QTD_IMPLANT_UNITS</t>
        </is>
      </c>
      <c r="AI1" t="inlineStr">
        <is>
          <t>QTD_REVENUE_UNITS</t>
        </is>
      </c>
      <c r="AJ1" t="inlineStr">
        <is>
          <t>L1_REV</t>
        </is>
      </c>
      <c r="AK1" t="inlineStr">
        <is>
          <t>L2_REV</t>
        </is>
      </c>
      <c r="AL1" t="inlineStr">
        <is>
          <t>L1_PO</t>
        </is>
      </c>
      <c r="AM1" t="inlineStr">
        <is>
          <t>L2_PO</t>
        </is>
      </c>
    </row>
    <row r="2">
      <c r="A2" t="inlineStr">
        <is>
          <t>PACIFIC</t>
        </is>
      </c>
      <c r="B2" t="inlineStr">
        <is>
          <t>RE_07</t>
        </is>
      </c>
      <c r="C2" t="inlineStr">
        <is>
          <t>mbrown@cvrx.com</t>
        </is>
      </c>
      <c r="D2" t="inlineStr">
        <is>
          <t>vsawyer@cvrx.com</t>
        </is>
      </c>
      <c r="E2" s="47" t="n">
        <v>46030</v>
      </c>
      <c r="F2" t="inlineStr">
        <is>
          <t>2026_01</t>
        </is>
      </c>
      <c r="G2" t="inlineStr">
        <is>
          <t>2026</t>
        </is>
      </c>
      <c r="H2" t="inlineStr">
        <is>
          <t>2026_Q1</t>
        </is>
      </c>
      <c r="I2" s="48" t="n">
        <v>46029</v>
      </c>
      <c r="J2" t="inlineStr">
        <is>
          <t>2026_01</t>
        </is>
      </c>
      <c r="K2" t="inlineStr">
        <is>
          <t>2026_Q1</t>
        </is>
      </c>
      <c r="L2" t="inlineStr">
        <is>
          <t>2026</t>
        </is>
      </c>
      <c r="M2" t="inlineStr">
        <is>
          <t>Providence St Vincent Medical Center</t>
        </is>
      </c>
      <c r="N2" t="inlineStr">
        <is>
          <t>0017000001PgfGiAAJ</t>
        </is>
      </c>
      <c r="O2" t="inlineStr">
        <is>
          <t>Providence Swedish (FKA Providence)</t>
        </is>
      </c>
      <c r="P2" t="inlineStr">
        <is>
          <t>PDX02 028846</t>
        </is>
      </c>
      <c r="Q2" t="inlineStr">
        <is>
          <t>006UY00000Txns1YAB</t>
        </is>
      </c>
      <c r="R2" t="inlineStr">
        <is>
          <t>Vidang Nguyen</t>
        </is>
      </c>
      <c r="S2" t="inlineStr">
        <is>
          <t>003UY000008RCrhYAG</t>
        </is>
      </c>
      <c r="T2" t="inlineStr">
        <is>
          <t>Heart Failure - Reduced Ejection Fraction</t>
        </is>
      </c>
      <c r="U2" t="inlineStr">
        <is>
          <t>De novo</t>
        </is>
      </c>
      <c r="V2" t="n">
        <v>1</v>
      </c>
      <c r="W2" t="n">
        <v>1</v>
      </c>
      <c r="X2" t="n">
        <v>1</v>
      </c>
      <c r="Y2" t="n">
        <v>35000</v>
      </c>
      <c r="Z2" t="n">
        <v>35000</v>
      </c>
      <c r="AA2" t="n">
        <v>0</v>
      </c>
      <c r="AB2" t="n">
        <v>35000</v>
      </c>
      <c r="AC2" t="n">
        <v>1184686.1823</v>
      </c>
      <c r="AD2" t="n">
        <v>1579581.5763</v>
      </c>
      <c r="AE2" t="n">
        <v>0.025</v>
      </c>
      <c r="AF2" t="n">
        <v>0.05</v>
      </c>
      <c r="AG2" t="n">
        <v>35000</v>
      </c>
      <c r="AH2" t="n">
        <v>1</v>
      </c>
      <c r="AI2" t="n">
        <v>1</v>
      </c>
      <c r="AJ2" t="n">
        <v>35000</v>
      </c>
      <c r="AK2" t="n">
        <v>0</v>
      </c>
      <c r="AL2" t="n">
        <v>875</v>
      </c>
      <c r="AM2" t="n">
        <v>0</v>
      </c>
    </row>
    <row r="3">
      <c r="A3" t="inlineStr">
        <is>
          <t>PACIFIC</t>
        </is>
      </c>
      <c r="B3" t="inlineStr">
        <is>
          <t>RE_07</t>
        </is>
      </c>
      <c r="C3" t="inlineStr">
        <is>
          <t>mbrown@cvrx.com</t>
        </is>
      </c>
      <c r="D3" t="inlineStr">
        <is>
          <t>ctaylor@cvrx.com</t>
        </is>
      </c>
      <c r="E3" s="47" t="n">
        <v>46031</v>
      </c>
      <c r="F3" t="inlineStr">
        <is>
          <t>2026_01</t>
        </is>
      </c>
      <c r="G3" t="inlineStr">
        <is>
          <t>2026</t>
        </is>
      </c>
      <c r="H3" t="inlineStr">
        <is>
          <t>2026_Q1</t>
        </is>
      </c>
      <c r="I3" s="48" t="n">
        <v>46031</v>
      </c>
      <c r="J3" t="inlineStr">
        <is>
          <t>2026_01</t>
        </is>
      </c>
      <c r="K3" t="inlineStr">
        <is>
          <t>2026_Q1</t>
        </is>
      </c>
      <c r="L3" t="inlineStr">
        <is>
          <t>2026</t>
        </is>
      </c>
      <c r="M3" t="inlineStr">
        <is>
          <t>Los Robles Hospital &amp; Medical Center</t>
        </is>
      </c>
      <c r="N3" t="inlineStr">
        <is>
          <t>0014u00001pyTyOAAU</t>
        </is>
      </c>
      <c r="O3" t="inlineStr">
        <is>
          <t>HCA Healthcare</t>
        </is>
      </c>
      <c r="P3" t="inlineStr">
        <is>
          <t>CRX794 026205</t>
        </is>
      </c>
      <c r="Q3" t="inlineStr">
        <is>
          <t>006UY00000N69PyYAJ</t>
        </is>
      </c>
      <c r="R3" t="inlineStr">
        <is>
          <t>David Aliabadi</t>
        </is>
      </c>
      <c r="S3" t="inlineStr">
        <is>
          <t>0034u00002oXzqPAAS</t>
        </is>
      </c>
      <c r="T3" t="inlineStr">
        <is>
          <t>Heart Failure - Reduced Ejection Fraction</t>
        </is>
      </c>
      <c r="U3" t="inlineStr">
        <is>
          <t>De novo</t>
        </is>
      </c>
      <c r="V3" t="n">
        <v>1</v>
      </c>
      <c r="W3" t="n">
        <v>1</v>
      </c>
      <c r="X3" t="n">
        <v>0</v>
      </c>
      <c r="Y3" t="n">
        <v>0</v>
      </c>
      <c r="Z3" t="n">
        <v>28668.5393258427</v>
      </c>
      <c r="AA3" t="n">
        <v>0</v>
      </c>
      <c r="AB3" t="n">
        <v>0</v>
      </c>
      <c r="AC3" t="n">
        <v>1184686.1823</v>
      </c>
      <c r="AD3" t="n">
        <v>1579581.5763</v>
      </c>
      <c r="AE3" t="n">
        <v>0.025</v>
      </c>
      <c r="AF3" t="n">
        <v>0.05</v>
      </c>
      <c r="AG3" t="n">
        <v>63668.53932584269</v>
      </c>
      <c r="AH3" t="n">
        <v>2</v>
      </c>
      <c r="AI3" t="n">
        <v>1</v>
      </c>
      <c r="AJ3" t="n">
        <v>28668.5393258427</v>
      </c>
      <c r="AK3" t="n">
        <v>0</v>
      </c>
      <c r="AL3" t="n">
        <v>716.7134831460675</v>
      </c>
      <c r="AM3" t="n">
        <v>0</v>
      </c>
    </row>
    <row r="4">
      <c r="A4" t="inlineStr">
        <is>
          <t>PACIFIC</t>
        </is>
      </c>
      <c r="B4" t="inlineStr">
        <is>
          <t>RE_07</t>
        </is>
      </c>
      <c r="C4" t="inlineStr">
        <is>
          <t>mbrown@cvrx.com</t>
        </is>
      </c>
      <c r="D4" t="inlineStr">
        <is>
          <t>ctaylor@cvrx.com</t>
        </is>
      </c>
      <c r="E4" s="47" t="n">
        <v>46034</v>
      </c>
      <c r="F4" t="inlineStr">
        <is>
          <t>2026_01</t>
        </is>
      </c>
      <c r="G4" t="inlineStr">
        <is>
          <t>2026</t>
        </is>
      </c>
      <c r="H4" t="inlineStr">
        <is>
          <t>2026_Q1</t>
        </is>
      </c>
      <c r="I4" s="48" t="n">
        <v>46031</v>
      </c>
      <c r="J4" t="inlineStr">
        <is>
          <t>2026_01</t>
        </is>
      </c>
      <c r="K4" t="inlineStr">
        <is>
          <t>2026_Q1</t>
        </is>
      </c>
      <c r="L4" t="inlineStr">
        <is>
          <t>2026</t>
        </is>
      </c>
      <c r="M4" t="inlineStr">
        <is>
          <t>Los Robles Hospital &amp; Medical Center</t>
        </is>
      </c>
      <c r="N4" t="inlineStr">
        <is>
          <t>0014u00001pyTyOAAU</t>
        </is>
      </c>
      <c r="O4" t="inlineStr">
        <is>
          <t>HCA Healthcare</t>
        </is>
      </c>
      <c r="P4" t="inlineStr">
        <is>
          <t>CRX794 027778</t>
        </is>
      </c>
      <c r="Q4" t="inlineStr">
        <is>
          <t>006UY00000QaSWhYAN</t>
        </is>
      </c>
      <c r="R4" t="inlineStr">
        <is>
          <t>Carney Chan</t>
        </is>
      </c>
      <c r="S4" t="inlineStr">
        <is>
          <t>0034u00002s2sEeAAI</t>
        </is>
      </c>
      <c r="T4" t="inlineStr">
        <is>
          <t>Heart Failure - Reduced Ejection Fraction</t>
        </is>
      </c>
      <c r="U4" t="inlineStr">
        <is>
          <t>De novo</t>
        </is>
      </c>
      <c r="V4" t="n">
        <v>1</v>
      </c>
      <c r="W4" t="n">
        <v>1</v>
      </c>
      <c r="X4" t="n">
        <v>1</v>
      </c>
      <c r="Y4" t="n">
        <v>28000</v>
      </c>
      <c r="Z4" t="n">
        <v>28668.5393258427</v>
      </c>
      <c r="AA4" t="n">
        <v>1</v>
      </c>
      <c r="AB4" t="n">
        <v>28000</v>
      </c>
      <c r="AC4" t="n">
        <v>1184686.1823</v>
      </c>
      <c r="AD4" t="n">
        <v>1579581.5763</v>
      </c>
      <c r="AE4" t="n">
        <v>0.025</v>
      </c>
      <c r="AF4" t="n">
        <v>0.05</v>
      </c>
      <c r="AG4" t="n">
        <v>92337.07865168538</v>
      </c>
      <c r="AH4" t="n">
        <v>3</v>
      </c>
      <c r="AI4" t="n">
        <v>2</v>
      </c>
      <c r="AJ4" t="n">
        <v>28668.5393258427</v>
      </c>
      <c r="AK4" t="n">
        <v>0</v>
      </c>
      <c r="AL4" t="n">
        <v>716.7134831460675</v>
      </c>
      <c r="AM4" t="n">
        <v>0</v>
      </c>
    </row>
    <row r="5">
      <c r="A5" t="inlineStr">
        <is>
          <t>PACIFIC</t>
        </is>
      </c>
      <c r="B5" t="inlineStr">
        <is>
          <t>RE_07</t>
        </is>
      </c>
      <c r="C5" t="inlineStr">
        <is>
          <t>mbrown@cvrx.com</t>
        </is>
      </c>
      <c r="D5" t="inlineStr">
        <is>
          <t>ycruea@cvrx.com</t>
        </is>
      </c>
      <c r="E5" s="47" t="n">
        <v>46036</v>
      </c>
      <c r="F5" t="inlineStr">
        <is>
          <t>2026_01</t>
        </is>
      </c>
      <c r="G5" t="inlineStr">
        <is>
          <t>2026</t>
        </is>
      </c>
      <c r="H5" t="inlineStr">
        <is>
          <t>2026_Q1</t>
        </is>
      </c>
      <c r="J5" t="inlineStr">
        <is>
          <t>2026_01</t>
        </is>
      </c>
      <c r="K5" t="inlineStr">
        <is>
          <t>2026_Q1</t>
        </is>
      </c>
      <c r="L5" t="inlineStr">
        <is>
          <t>2026</t>
        </is>
      </c>
      <c r="M5" t="inlineStr">
        <is>
          <t>St Joseph Hospital Orange</t>
        </is>
      </c>
      <c r="N5" t="inlineStr">
        <is>
          <t>0014u00001pyTy3AAE</t>
        </is>
      </c>
      <c r="O5" t="inlineStr">
        <is>
          <t>Providence Swedish (FKA Providence)</t>
        </is>
      </c>
      <c r="P5" t="inlineStr">
        <is>
          <t>CRX773 029408</t>
        </is>
      </c>
      <c r="Q5" t="inlineStr">
        <is>
          <t>006UY00000VM5GwYAL</t>
        </is>
      </c>
      <c r="T5" t="inlineStr">
        <is>
          <t>Heart Failure - Reduced Ejection Fraction</t>
        </is>
      </c>
      <c r="U5" t="inlineStr">
        <is>
          <t>De novo</t>
        </is>
      </c>
      <c r="V5" t="n">
        <v>0</v>
      </c>
      <c r="W5" t="n">
        <v>0</v>
      </c>
      <c r="X5" t="n">
        <v>1</v>
      </c>
      <c r="Y5" t="n">
        <v>35000</v>
      </c>
      <c r="Z5" t="n">
        <v>35000</v>
      </c>
      <c r="AA5" t="n">
        <v>0</v>
      </c>
      <c r="AB5" t="n">
        <v>35000</v>
      </c>
      <c r="AC5" t="n">
        <v>1184686.1823</v>
      </c>
      <c r="AD5" t="n">
        <v>1579581.5763</v>
      </c>
      <c r="AE5" t="n">
        <v>0.025</v>
      </c>
      <c r="AF5" t="n">
        <v>0.05</v>
      </c>
      <c r="AG5" t="n">
        <v>127337.0786516854</v>
      </c>
      <c r="AH5" t="n">
        <v>4</v>
      </c>
      <c r="AI5" t="n">
        <v>3</v>
      </c>
      <c r="AJ5" t="n">
        <v>35000</v>
      </c>
      <c r="AK5" t="n">
        <v>0</v>
      </c>
      <c r="AL5" t="n">
        <v>875</v>
      </c>
      <c r="AM5" t="n">
        <v>0</v>
      </c>
    </row>
    <row r="6">
      <c r="A6" t="inlineStr">
        <is>
          <t>PACIFIC</t>
        </is>
      </c>
      <c r="B6" t="inlineStr">
        <is>
          <t>RE_07</t>
        </is>
      </c>
      <c r="C6" t="inlineStr">
        <is>
          <t>mbrown@cvrx.com</t>
        </is>
      </c>
      <c r="D6" t="inlineStr">
        <is>
          <t>ccraigo@cvrx.com</t>
        </is>
      </c>
      <c r="E6" s="47" t="n">
        <v>46045</v>
      </c>
      <c r="F6" t="inlineStr">
        <is>
          <t>2026_01</t>
        </is>
      </c>
      <c r="G6" t="inlineStr">
        <is>
          <t>2026</t>
        </is>
      </c>
      <c r="H6" t="inlineStr">
        <is>
          <t>2026_Q1</t>
        </is>
      </c>
      <c r="I6" s="48" t="n">
        <v>46034</v>
      </c>
      <c r="J6" t="inlineStr">
        <is>
          <t>2026_01</t>
        </is>
      </c>
      <c r="K6" t="inlineStr">
        <is>
          <t>2026_Q1</t>
        </is>
      </c>
      <c r="L6" t="inlineStr">
        <is>
          <t>2026</t>
        </is>
      </c>
      <c r="M6" t="inlineStr">
        <is>
          <t>Usc Arcadia Hospital</t>
        </is>
      </c>
      <c r="N6" t="inlineStr">
        <is>
          <t>0014u00001pyTyDAAU</t>
        </is>
      </c>
      <c r="P6" t="inlineStr">
        <is>
          <t>CRX783 029069</t>
        </is>
      </c>
      <c r="Q6" t="inlineStr">
        <is>
          <t>006UY00000UOkGYYA1</t>
        </is>
      </c>
      <c r="R6" t="inlineStr">
        <is>
          <t>Michael Fong</t>
        </is>
      </c>
      <c r="S6" t="inlineStr">
        <is>
          <t>0034u00002XPHN0AAP</t>
        </is>
      </c>
      <c r="T6" t="inlineStr">
        <is>
          <t>Heart Failure - Reduced Ejection Fraction</t>
        </is>
      </c>
      <c r="U6" t="inlineStr">
        <is>
          <t>De novo</t>
        </is>
      </c>
      <c r="V6" t="n">
        <v>1</v>
      </c>
      <c r="W6" t="n">
        <v>1</v>
      </c>
      <c r="X6" t="n">
        <v>1</v>
      </c>
      <c r="Y6" t="n">
        <v>35000</v>
      </c>
      <c r="Z6" t="n">
        <v>35000</v>
      </c>
      <c r="AA6" t="n">
        <v>0</v>
      </c>
      <c r="AB6" t="n">
        <v>35000</v>
      </c>
      <c r="AC6" t="n">
        <v>1184686.1823</v>
      </c>
      <c r="AD6" t="n">
        <v>1579581.5763</v>
      </c>
      <c r="AE6" t="n">
        <v>0.025</v>
      </c>
      <c r="AF6" t="n">
        <v>0.05</v>
      </c>
      <c r="AG6" t="n">
        <v>162337.0786516854</v>
      </c>
      <c r="AH6" t="n">
        <v>4</v>
      </c>
      <c r="AI6" t="n">
        <v>4</v>
      </c>
      <c r="AJ6" t="n">
        <v>35000</v>
      </c>
      <c r="AK6" t="n">
        <v>0</v>
      </c>
      <c r="AL6" t="n">
        <v>875</v>
      </c>
      <c r="AM6" t="n">
        <v>0</v>
      </c>
    </row>
    <row r="7">
      <c r="A7" t="inlineStr">
        <is>
          <t>PACIFIC</t>
        </is>
      </c>
      <c r="B7" t="inlineStr">
        <is>
          <t>RE_07</t>
        </is>
      </c>
      <c r="C7" t="inlineStr">
        <is>
          <t>mbrown@cvrx.com</t>
        </is>
      </c>
      <c r="D7" t="inlineStr">
        <is>
          <t>jmalberg@cvrx.com</t>
        </is>
      </c>
      <c r="E7" s="47" t="n">
        <v>46048</v>
      </c>
      <c r="F7" t="inlineStr">
        <is>
          <t>2026_01</t>
        </is>
      </c>
      <c r="G7" t="inlineStr">
        <is>
          <t>2026</t>
        </is>
      </c>
      <c r="H7" t="inlineStr">
        <is>
          <t>2026_Q1</t>
        </is>
      </c>
      <c r="J7" t="inlineStr">
        <is>
          <t>2026_01</t>
        </is>
      </c>
      <c r="K7" t="inlineStr">
        <is>
          <t>2026_Q1</t>
        </is>
      </c>
      <c r="L7" t="inlineStr">
        <is>
          <t>2026</t>
        </is>
      </c>
      <c r="M7" t="inlineStr">
        <is>
          <t>Ucsf Medical Center</t>
        </is>
      </c>
      <c r="N7" t="inlineStr">
        <is>
          <t>0014u00001pyZlqAAE</t>
        </is>
      </c>
      <c r="O7" t="inlineStr">
        <is>
          <t>University of California Health (AKA UC Health-CA)</t>
        </is>
      </c>
      <c r="P7" t="inlineStr">
        <is>
          <t>CVR314 028890</t>
        </is>
      </c>
      <c r="Q7" t="inlineStr">
        <is>
          <t>006UY00000U3JknYAF</t>
        </is>
      </c>
      <c r="T7" t="inlineStr">
        <is>
          <t>Heart Failure - Reduced Ejection Fraction</t>
        </is>
      </c>
      <c r="U7" t="inlineStr">
        <is>
          <t>De novo</t>
        </is>
      </c>
      <c r="V7" t="n">
        <v>0</v>
      </c>
      <c r="W7" t="n">
        <v>0</v>
      </c>
      <c r="X7" t="n">
        <v>1</v>
      </c>
      <c r="Y7" t="n">
        <v>31500</v>
      </c>
      <c r="Z7" t="n">
        <v>31500</v>
      </c>
      <c r="AA7" t="n">
        <v>1</v>
      </c>
      <c r="AB7" t="n">
        <v>31500</v>
      </c>
      <c r="AC7" t="n">
        <v>1184686.1823</v>
      </c>
      <c r="AD7" t="n">
        <v>1579581.5763</v>
      </c>
      <c r="AE7" t="n">
        <v>0.025</v>
      </c>
      <c r="AF7" t="n">
        <v>0.05</v>
      </c>
      <c r="AG7" t="n">
        <v>193837.0786516854</v>
      </c>
      <c r="AH7" t="n">
        <v>10</v>
      </c>
      <c r="AI7" t="n">
        <v>5</v>
      </c>
      <c r="AJ7" t="n">
        <v>31500</v>
      </c>
      <c r="AK7" t="n">
        <v>0</v>
      </c>
      <c r="AL7" t="n">
        <v>787.5</v>
      </c>
      <c r="AM7" t="n">
        <v>0</v>
      </c>
    </row>
    <row r="8">
      <c r="A8" t="inlineStr">
        <is>
          <t>PACIFIC</t>
        </is>
      </c>
      <c r="B8" t="inlineStr">
        <is>
          <t>RE_07</t>
        </is>
      </c>
      <c r="C8" t="inlineStr">
        <is>
          <t>mbrown@cvrx.com</t>
        </is>
      </c>
      <c r="D8" t="inlineStr">
        <is>
          <t>jmalberg@cvrx.com</t>
        </is>
      </c>
      <c r="E8" s="47" t="n">
        <v>46048</v>
      </c>
      <c r="F8" t="inlineStr">
        <is>
          <t>2026_01</t>
        </is>
      </c>
      <c r="G8" t="inlineStr">
        <is>
          <t>2026</t>
        </is>
      </c>
      <c r="H8" t="inlineStr">
        <is>
          <t>2026_Q1</t>
        </is>
      </c>
      <c r="J8" t="inlineStr">
        <is>
          <t>2026_01</t>
        </is>
      </c>
      <c r="K8" t="inlineStr">
        <is>
          <t>2026_Q1</t>
        </is>
      </c>
      <c r="L8" t="inlineStr">
        <is>
          <t>2026</t>
        </is>
      </c>
      <c r="M8" t="inlineStr">
        <is>
          <t>Ucsf Medical Center</t>
        </is>
      </c>
      <c r="N8" t="inlineStr">
        <is>
          <t>0014u00001pyZlqAAE</t>
        </is>
      </c>
      <c r="O8" t="inlineStr">
        <is>
          <t>University of California Health (AKA UC Health-CA)</t>
        </is>
      </c>
      <c r="P8" t="inlineStr">
        <is>
          <t>CVR314 029551</t>
        </is>
      </c>
      <c r="Q8" t="inlineStr">
        <is>
          <t>006UY00000VfcIoYAJ</t>
        </is>
      </c>
      <c r="T8" t="inlineStr">
        <is>
          <t>Heart Failure - Reduced Ejection Fraction</t>
        </is>
      </c>
      <c r="U8" t="inlineStr">
        <is>
          <t>De novo</t>
        </is>
      </c>
      <c r="V8" t="n">
        <v>0</v>
      </c>
      <c r="W8" t="n">
        <v>0</v>
      </c>
      <c r="X8" t="n">
        <v>1</v>
      </c>
      <c r="Y8" t="n">
        <v>31500</v>
      </c>
      <c r="Z8" t="n">
        <v>31500</v>
      </c>
      <c r="AA8" t="n">
        <v>1</v>
      </c>
      <c r="AB8" t="n">
        <v>31500</v>
      </c>
      <c r="AC8" t="n">
        <v>1184686.1823</v>
      </c>
      <c r="AD8" t="n">
        <v>1579581.5763</v>
      </c>
      <c r="AE8" t="n">
        <v>0.025</v>
      </c>
      <c r="AF8" t="n">
        <v>0.05</v>
      </c>
      <c r="AG8" t="n">
        <v>225337.0786516854</v>
      </c>
      <c r="AH8" t="n">
        <v>10</v>
      </c>
      <c r="AI8" t="n">
        <v>6</v>
      </c>
      <c r="AJ8" t="n">
        <v>31500</v>
      </c>
      <c r="AK8" t="n">
        <v>0</v>
      </c>
      <c r="AL8" t="n">
        <v>787.5</v>
      </c>
      <c r="AM8" t="n">
        <v>0</v>
      </c>
    </row>
    <row r="9">
      <c r="A9" t="inlineStr">
        <is>
          <t>PACIFIC</t>
        </is>
      </c>
      <c r="B9" t="inlineStr">
        <is>
          <t>RE_07</t>
        </is>
      </c>
      <c r="C9" t="inlineStr">
        <is>
          <t>mbrown@cvrx.com</t>
        </is>
      </c>
      <c r="D9" t="inlineStr">
        <is>
          <t>asanfilippo@cvrx.com</t>
        </is>
      </c>
      <c r="E9" s="47" t="n">
        <v>46050</v>
      </c>
      <c r="F9" t="inlineStr">
        <is>
          <t>2026_01</t>
        </is>
      </c>
      <c r="G9" t="inlineStr">
        <is>
          <t>2026</t>
        </is>
      </c>
      <c r="H9" t="inlineStr">
        <is>
          <t>2026_Q1</t>
        </is>
      </c>
      <c r="J9" t="inlineStr">
        <is>
          <t>2026_01</t>
        </is>
      </c>
      <c r="K9" t="inlineStr">
        <is>
          <t>2026_Q1</t>
        </is>
      </c>
      <c r="L9" t="inlineStr">
        <is>
          <t>2026</t>
        </is>
      </c>
      <c r="M9" t="inlineStr">
        <is>
          <t>Loma Linda University Medical Center-Murrieta</t>
        </is>
      </c>
      <c r="N9" t="inlineStr">
        <is>
          <t>0014u00001pydEQAAY</t>
        </is>
      </c>
      <c r="O9" t="inlineStr">
        <is>
          <t>Loma Linda University Health</t>
        </is>
      </c>
      <c r="P9" t="inlineStr">
        <is>
          <t>CVR457 029621</t>
        </is>
      </c>
      <c r="Q9" t="inlineStr">
        <is>
          <t>006UY00000VpaArYAJ</t>
        </is>
      </c>
      <c r="T9" t="inlineStr">
        <is>
          <t>Heart Failure - Reduced Ejection Fraction</t>
        </is>
      </c>
      <c r="U9" t="inlineStr">
        <is>
          <t>De novo</t>
        </is>
      </c>
      <c r="V9" t="n">
        <v>0</v>
      </c>
      <c r="W9" t="n">
        <v>0</v>
      </c>
      <c r="X9" t="n">
        <v>2</v>
      </c>
      <c r="Y9" t="n">
        <v>66000</v>
      </c>
      <c r="Z9" t="n">
        <v>66000</v>
      </c>
      <c r="AA9" t="n">
        <v>0</v>
      </c>
      <c r="AB9" t="n">
        <v>33000</v>
      </c>
      <c r="AC9" t="n">
        <v>1184686.1823</v>
      </c>
      <c r="AD9" t="n">
        <v>1579581.5763</v>
      </c>
      <c r="AE9" t="n">
        <v>0.025</v>
      </c>
      <c r="AF9" t="n">
        <v>0.05</v>
      </c>
      <c r="AG9" t="n">
        <v>291337.0786516854</v>
      </c>
      <c r="AH9" t="n">
        <v>14</v>
      </c>
      <c r="AI9" t="n">
        <v>8</v>
      </c>
      <c r="AJ9" t="n">
        <v>66000</v>
      </c>
      <c r="AK9" t="n">
        <v>0</v>
      </c>
      <c r="AL9" t="n">
        <v>1650</v>
      </c>
      <c r="AM9" t="n">
        <v>0</v>
      </c>
    </row>
    <row r="10">
      <c r="A10" t="inlineStr">
        <is>
          <t>PACIFIC</t>
        </is>
      </c>
      <c r="B10" t="inlineStr">
        <is>
          <t>RE_07</t>
        </is>
      </c>
      <c r="C10" t="inlineStr">
        <is>
          <t>mbrown@cvrx.com</t>
        </is>
      </c>
      <c r="D10" t="inlineStr">
        <is>
          <t>vsawyer@cvrx.com</t>
        </is>
      </c>
      <c r="E10" s="47" t="n">
        <v>46051</v>
      </c>
      <c r="F10" t="inlineStr">
        <is>
          <t>2026_01</t>
        </is>
      </c>
      <c r="G10" t="inlineStr">
        <is>
          <t>2026</t>
        </is>
      </c>
      <c r="H10" t="inlineStr">
        <is>
          <t>2026_Q1</t>
        </is>
      </c>
      <c r="J10" t="inlineStr">
        <is>
          <t>2026_01</t>
        </is>
      </c>
      <c r="K10" t="inlineStr">
        <is>
          <t>2026_Q1</t>
        </is>
      </c>
      <c r="L10" t="inlineStr">
        <is>
          <t>2026</t>
        </is>
      </c>
      <c r="M10" t="inlineStr">
        <is>
          <t>Legacy Emanuel Mc</t>
        </is>
      </c>
      <c r="N10" t="inlineStr">
        <is>
          <t>0014u00001s7myLAAQ</t>
        </is>
      </c>
      <c r="O10" t="inlineStr">
        <is>
          <t>Legacy Health</t>
        </is>
      </c>
      <c r="P10" t="inlineStr">
        <is>
          <t>PDX06 029602</t>
        </is>
      </c>
      <c r="Q10" t="inlineStr">
        <is>
          <t>006UY00000VnRq1YAF</t>
        </is>
      </c>
      <c r="T10" t="inlineStr">
        <is>
          <t>Heart Failure - Reduced Ejection Fraction</t>
        </is>
      </c>
      <c r="U10" t="inlineStr">
        <is>
          <t>De novo</t>
        </is>
      </c>
      <c r="V10" t="n">
        <v>0</v>
      </c>
      <c r="W10" t="n">
        <v>0</v>
      </c>
      <c r="X10" t="n">
        <v>1</v>
      </c>
      <c r="Y10" t="n">
        <v>32000</v>
      </c>
      <c r="Z10" t="n">
        <v>32000</v>
      </c>
      <c r="AA10" t="n">
        <v>0</v>
      </c>
      <c r="AB10" t="n">
        <v>32000</v>
      </c>
      <c r="AC10" t="n">
        <v>1184686.1823</v>
      </c>
      <c r="AD10" t="n">
        <v>1579581.5763</v>
      </c>
      <c r="AE10" t="n">
        <v>0.025</v>
      </c>
      <c r="AF10" t="n">
        <v>0.05</v>
      </c>
      <c r="AG10" t="n">
        <v>323337.0786516854</v>
      </c>
      <c r="AH10" t="n">
        <v>16</v>
      </c>
      <c r="AI10" t="n">
        <v>9</v>
      </c>
      <c r="AJ10" t="n">
        <v>32000</v>
      </c>
      <c r="AK10" t="n">
        <v>0</v>
      </c>
      <c r="AL10" t="n">
        <v>800</v>
      </c>
      <c r="AM10" t="n">
        <v>0</v>
      </c>
    </row>
    <row r="11">
      <c r="A11" t="inlineStr">
        <is>
          <t>PACIFIC</t>
        </is>
      </c>
      <c r="B11" t="inlineStr">
        <is>
          <t>RE_07</t>
        </is>
      </c>
      <c r="C11" t="inlineStr">
        <is>
          <t>mbrown@cvrx.com</t>
        </is>
      </c>
      <c r="D11" t="inlineStr">
        <is>
          <t>ycruea@cvrx.com</t>
        </is>
      </c>
      <c r="E11" s="47" t="n">
        <v>46052</v>
      </c>
      <c r="F11" t="inlineStr">
        <is>
          <t>2026_01</t>
        </is>
      </c>
      <c r="G11" t="inlineStr">
        <is>
          <t>2026</t>
        </is>
      </c>
      <c r="H11" t="inlineStr">
        <is>
          <t>2026_Q1</t>
        </is>
      </c>
      <c r="J11" t="inlineStr">
        <is>
          <t>2026_01</t>
        </is>
      </c>
      <c r="K11" t="inlineStr">
        <is>
          <t>2026_Q1</t>
        </is>
      </c>
      <c r="L11" t="inlineStr">
        <is>
          <t>2026</t>
        </is>
      </c>
      <c r="M11" t="inlineStr">
        <is>
          <t>St Joseph Hospital Orange</t>
        </is>
      </c>
      <c r="N11" t="inlineStr">
        <is>
          <t>0014u00001pyTy3AAE</t>
        </is>
      </c>
      <c r="O11" t="inlineStr">
        <is>
          <t>Providence Swedish (FKA Providence)</t>
        </is>
      </c>
      <c r="P11" t="inlineStr">
        <is>
          <t>CRX773 029676</t>
        </is>
      </c>
      <c r="Q11" t="inlineStr">
        <is>
          <t>006UY00000VvRzKYAV</t>
        </is>
      </c>
      <c r="T11" t="inlineStr">
        <is>
          <t>Heart Failure - Reduced Ejection Fraction</t>
        </is>
      </c>
      <c r="U11" t="inlineStr">
        <is>
          <t>De novo</t>
        </is>
      </c>
      <c r="V11" t="n">
        <v>0</v>
      </c>
      <c r="W11" t="n">
        <v>0</v>
      </c>
      <c r="X11" t="n">
        <v>1</v>
      </c>
      <c r="Y11" t="n">
        <v>35000</v>
      </c>
      <c r="Z11" t="n">
        <v>35000</v>
      </c>
      <c r="AA11" t="n">
        <v>0</v>
      </c>
      <c r="AB11" t="n">
        <v>35000</v>
      </c>
      <c r="AC11" t="n">
        <v>1184686.1823</v>
      </c>
      <c r="AD11" t="n">
        <v>1579581.5763</v>
      </c>
      <c r="AE11" t="n">
        <v>0.025</v>
      </c>
      <c r="AF11" t="n">
        <v>0.05</v>
      </c>
      <c r="AG11" t="n">
        <v>358337.0786516854</v>
      </c>
      <c r="AH11" t="n">
        <v>16</v>
      </c>
      <c r="AI11" t="n">
        <v>10</v>
      </c>
      <c r="AJ11" t="n">
        <v>35000</v>
      </c>
      <c r="AK11" t="n">
        <v>0</v>
      </c>
      <c r="AL11" t="n">
        <v>875</v>
      </c>
      <c r="AM11" t="n">
        <v>0</v>
      </c>
    </row>
    <row r="12">
      <c r="A12" t="inlineStr">
        <is>
          <t>PACIFIC</t>
        </is>
      </c>
      <c r="B12" t="inlineStr">
        <is>
          <t>RE_07</t>
        </is>
      </c>
      <c r="C12" t="inlineStr">
        <is>
          <t>mbrown@cvrx.com</t>
        </is>
      </c>
      <c r="D12" t="inlineStr">
        <is>
          <t>jmalberg@cvrx.com</t>
        </is>
      </c>
      <c r="E12" s="47" t="n">
        <v>46053</v>
      </c>
      <c r="F12" t="inlineStr">
        <is>
          <t>2026_01</t>
        </is>
      </c>
      <c r="G12" t="inlineStr">
        <is>
          <t>2026</t>
        </is>
      </c>
      <c r="H12" t="inlineStr">
        <is>
          <t>2026_Q1</t>
        </is>
      </c>
      <c r="J12" t="inlineStr">
        <is>
          <t>2026_02</t>
        </is>
      </c>
      <c r="K12" t="inlineStr">
        <is>
          <t>2026_Q1</t>
        </is>
      </c>
      <c r="L12" t="inlineStr">
        <is>
          <t>2026</t>
        </is>
      </c>
      <c r="M12" t="inlineStr">
        <is>
          <t>Kaweah Delta Medical Center</t>
        </is>
      </c>
      <c r="N12" t="inlineStr">
        <is>
          <t>0014u00001s9EpwAAE</t>
        </is>
      </c>
      <c r="O12" t="inlineStr">
        <is>
          <t>Kaweah Health (FKA Kaweah Delta Health Care District)</t>
        </is>
      </c>
      <c r="P12" t="inlineStr">
        <is>
          <t>CRX305 029860</t>
        </is>
      </c>
      <c r="Q12" t="inlineStr">
        <is>
          <t>006UY00000WRIhZYAX</t>
        </is>
      </c>
      <c r="T12" t="inlineStr">
        <is>
          <t>Heart Failure - Reduced Ejection Fraction</t>
        </is>
      </c>
      <c r="U12" t="inlineStr">
        <is>
          <t>De novo</t>
        </is>
      </c>
      <c r="V12" t="n">
        <v>0</v>
      </c>
      <c r="W12" t="n">
        <v>0</v>
      </c>
      <c r="X12" t="n">
        <v>2</v>
      </c>
      <c r="Y12" t="n">
        <v>60000</v>
      </c>
      <c r="Z12" t="n">
        <v>60000</v>
      </c>
      <c r="AA12" t="n">
        <v>0</v>
      </c>
      <c r="AB12" t="n">
        <v>30000</v>
      </c>
      <c r="AC12" t="n">
        <v>1184686.1823</v>
      </c>
      <c r="AD12" t="n">
        <v>1579581.5763</v>
      </c>
      <c r="AE12" t="n">
        <v>0.025</v>
      </c>
      <c r="AF12" t="n">
        <v>0.05</v>
      </c>
      <c r="AG12" t="n">
        <v>418337.0786516854</v>
      </c>
      <c r="AH12" t="n">
        <v>16</v>
      </c>
      <c r="AI12" t="n">
        <v>12</v>
      </c>
      <c r="AJ12" t="n">
        <v>60000</v>
      </c>
      <c r="AK12" t="n">
        <v>0</v>
      </c>
      <c r="AL12" t="n">
        <v>1500</v>
      </c>
      <c r="AM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2026-02-13T18:32:20Z</dcterms:modified>
  <cp:lastModifiedBy>Alan Sorensen</cp:lastModifiedBy>
  <cp:lastPrinted>2024-06-11T23:23:35Z</cp:lastPrinted>
</cp:coreProperties>
</file>