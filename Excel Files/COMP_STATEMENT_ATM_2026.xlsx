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480" yWindow="2715" windowWidth="29040" windowHeight="15720" tabRatio="600" firstSheet="0" activeTab="3" autoFilterDateGrouping="1"/>
    <workbookView visibility="visible" minimized="0" showHorizontalScroll="1" showVerticalScroll="1" showSheetTabs="1" xWindow="18000" yWindow="915" windowWidth="17325" windowHeight="18045" tabRatio="600" firstSheet="0" activeTab="3" autoFilterDateGrouping="1"/>
  </bookViews>
  <sheets>
    <sheet name="STATEMENT" sheetId="1" state="visible" r:id="rId1"/>
    <sheet name="info" sheetId="2" state="visible" r:id="rId2"/>
    <sheet name="payout" sheetId="3" state="visible" r:id="rId3"/>
    <sheet name="detai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\-mm\-dd"/>
    <numFmt numFmtId="167" formatCode="YYYY-MM-DD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000E3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4" fillId="4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4" applyAlignment="1" pivotButton="0" quotePrefix="0" xfId="1">
      <alignment horizontal="center"/>
    </xf>
    <xf numFmtId="165" fontId="2" fillId="0" borderId="13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164" fontId="6" fillId="0" borderId="7" applyAlignment="1" pivotButton="0" quotePrefix="0" xfId="0">
      <alignment horizontal="center"/>
    </xf>
    <xf numFmtId="0" fontId="7" fillId="0" borderId="0" pivotButton="0" quotePrefix="0" xfId="0"/>
    <xf numFmtId="165" fontId="3" fillId="3" borderId="16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165" fontId="2" fillId="0" borderId="17" applyAlignment="1" pivotButton="0" quotePrefix="0" xfId="0">
      <alignment horizontal="center"/>
    </xf>
    <xf numFmtId="0" fontId="8" fillId="5" borderId="18" applyAlignment="1" pivotButton="0" quotePrefix="0" xfId="0">
      <alignment horizontal="left" vertical="center"/>
    </xf>
    <xf numFmtId="164" fontId="2" fillId="0" borderId="19" applyAlignment="1" pivotButton="0" quotePrefix="0" xfId="0">
      <alignment horizontal="center"/>
    </xf>
    <xf numFmtId="166" fontId="0" fillId="0" borderId="0" pivotButton="0" quotePrefix="0" xfId="0"/>
    <xf numFmtId="0" fontId="3" fillId="0" borderId="12" applyAlignment="1" pivotButton="0" quotePrefix="0" xfId="0">
      <alignment horizontal="left"/>
    </xf>
    <xf numFmtId="0" fontId="0" fillId="0" borderId="11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4" fillId="2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0" fontId="6" fillId="0" borderId="6" pivotButton="0" quotePrefix="0" xfId="0"/>
    <xf numFmtId="0" fontId="0" fillId="0" borderId="10" pivotButton="0" quotePrefix="0" xfId="0"/>
    <xf numFmtId="0" fontId="4" fillId="4" borderId="4" applyAlignment="1" pivotButton="0" quotePrefix="0" xfId="0">
      <alignment horizontal="center"/>
    </xf>
    <xf numFmtId="0" fontId="3" fillId="0" borderId="14" applyAlignment="1" pivotButton="0" quotePrefix="0" xfId="0">
      <alignment horizontal="left" wrapText="1"/>
    </xf>
    <xf numFmtId="0" fontId="0" fillId="0" borderId="15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8" pivotButton="0" quotePrefix="0" xfId="0"/>
    <xf numFmtId="167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urrency" xfId="1" builtinId="4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1104900</colOff>
      <row>1</row>
      <rowOff>104775</rowOff>
    </from>
    <to>
      <col>6</col>
      <colOff>873348</colOff>
      <row>3</row>
      <rowOff>180998</rowOff>
    </to>
    <pic>
      <nvPicPr>
        <cNvPr id="3" name="Picture 2" descr="A picture containing text, sign, dark&#10;&#10;Description automatically generated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924425" y="304800"/>
          <a:ext cx="938118" cy="327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K39"/>
  <sheetViews>
    <sheetView view="pageBreakPreview" topLeftCell="A5" zoomScale="120" zoomScaleNormal="100" zoomScaleSheetLayoutView="120" workbookViewId="0">
      <selection activeCell="G13" sqref="G13"/>
    </sheetView>
    <sheetView workbookViewId="1">
      <selection activeCell="J32" sqref="J32"/>
    </sheetView>
  </sheetViews>
  <sheetFormatPr baseColWidth="8" defaultRowHeight="15.75"/>
  <cols>
    <col width="0.7109375" customWidth="1" style="1" min="1" max="1"/>
    <col width="25.28515625" customWidth="1" style="1" min="2" max="2"/>
    <col width="13.7109375" customWidth="1" style="1" min="3" max="3"/>
    <col width="11.85546875" customWidth="1" style="1" min="4" max="4"/>
    <col width="5.5703125" customWidth="1" style="1" min="5" max="5"/>
    <col width="17.85546875" customWidth="1" style="1" min="6" max="6"/>
    <col width="14.7109375" customWidth="1" style="1" min="7" max="7"/>
    <col width="12.5703125" customWidth="1" min="11" max="11"/>
  </cols>
  <sheetData>
    <row r="1" ht="3.95" customHeight="1"/>
    <row r="2">
      <c r="B2" s="2" t="inlineStr">
        <is>
          <t xml:space="preserve">CVRx US Variable Incentive Compensation Statement </t>
        </is>
      </c>
    </row>
    <row r="3" ht="3.95" customHeight="1"/>
    <row r="4">
      <c r="B4" s="2">
        <f>info!B1</f>
        <v/>
      </c>
    </row>
    <row r="5">
      <c r="B5" s="2">
        <f>info!B5</f>
        <v/>
      </c>
    </row>
    <row r="6">
      <c r="B6" s="2">
        <f>info!B6 &amp; " 2026"</f>
        <v/>
      </c>
      <c r="C6" s="4">
        <f>_xlfn.CONCAT(TEXT(B6,"YYYY"), "_", TEXT(B6,"MM"))</f>
        <v/>
      </c>
    </row>
    <row r="7" ht="3.95" customHeight="1"/>
    <row r="8" ht="3.95" customHeight="1" thickBot="1"/>
    <row r="9">
      <c r="B9" s="22" t="inlineStr">
        <is>
          <t>Sales Performance</t>
        </is>
      </c>
      <c r="C9" s="24" t="n"/>
      <c r="D9" s="3" t="n"/>
      <c r="E9" s="22" t="inlineStr">
        <is>
          <t>Final Payment</t>
        </is>
      </c>
      <c r="F9" s="23" t="n"/>
      <c r="G9" s="24" t="n"/>
    </row>
    <row r="10" ht="16.5" customHeight="1" thickBot="1">
      <c r="B10" s="15" t="inlineStr">
        <is>
          <t>Sales</t>
        </is>
      </c>
      <c r="C10" s="16">
        <f>_xlfn.XLOOKUP("SALES", payout!G:G,payout!F:F)</f>
        <v/>
      </c>
      <c r="D10" s="13" t="n"/>
      <c r="E10" s="25" t="inlineStr">
        <is>
          <t>Payout</t>
        </is>
      </c>
      <c r="F10" s="21" t="n"/>
      <c r="G10" s="14">
        <f>C10*0.1</f>
        <v/>
      </c>
      <c r="K10">
        <f>C10*0.15</f>
        <v/>
      </c>
    </row>
    <row r="11" ht="17.25" customHeight="1" thickBot="1">
      <c r="D11" s="4" t="n"/>
      <c r="E11" s="29" t="inlineStr">
        <is>
          <t>Adjustments</t>
        </is>
      </c>
      <c r="F11" s="30" t="n"/>
      <c r="G11" s="8">
        <f>_xlfn.IFNA(_xlfn.XLOOKUP("ADJUSTMENTS", payout!G:G,payout!F:F), 0) + _xlfn.IFNA(_xlfn.XLOOKUP("T-SPLIT", payout!G:G,payout!F:F), 0)</f>
        <v/>
      </c>
    </row>
    <row r="12" ht="17.25" customHeight="1" thickBot="1" thickTop="1">
      <c r="D12" s="11" t="n"/>
      <c r="E12" s="18" t="inlineStr">
        <is>
          <t>Final Payout</t>
        </is>
      </c>
      <c r="F12" s="19" t="n"/>
      <c r="G12" s="12">
        <f>_xlfn.XLOOKUP("PO_AMT", payout!G:G,payout!F:F)</f>
        <v/>
      </c>
    </row>
    <row r="13" ht="17.25" customHeight="1" thickBot="1" thickTop="1">
      <c r="E13" s="26" t="inlineStr">
        <is>
          <t>YTD Payout</t>
        </is>
      </c>
      <c r="F13" s="27" t="n"/>
      <c r="G13" s="10">
        <f>_xlfn.XLOOKUP("YTD_PO", payout!G:G,payout!F:F)</f>
        <v/>
      </c>
    </row>
    <row r="14" ht="3.95" customHeight="1"/>
    <row r="15" ht="3.95" customHeight="1"/>
    <row r="16">
      <c r="B16" s="31" t="inlineStr">
        <is>
          <t xml:space="preserve">Opportunity Detail </t>
        </is>
      </c>
      <c r="C16" s="32" t="n"/>
      <c r="D16" s="32" t="n"/>
      <c r="E16" s="32" t="n"/>
      <c r="F16" s="32" t="n"/>
      <c r="G16" s="21" t="n"/>
    </row>
    <row r="17">
      <c r="B17" s="28" t="inlineStr">
        <is>
          <t>Account</t>
        </is>
      </c>
      <c r="C17" s="28" t="inlineStr">
        <is>
          <t>Type</t>
        </is>
      </c>
      <c r="D17" s="28" t="inlineStr">
        <is>
          <t>Opp Name</t>
        </is>
      </c>
      <c r="E17" s="21" t="n"/>
      <c r="F17" s="28" t="inlineStr">
        <is>
          <t>Sales</t>
        </is>
      </c>
      <c r="G17" s="28" t="inlineStr">
        <is>
          <t>Rev Units</t>
        </is>
      </c>
    </row>
    <row r="18">
      <c r="B18" s="9">
        <f>IF(LEN(detail!L2)&lt;1,"",detail!L2)</f>
        <v/>
      </c>
      <c r="C18" s="9">
        <f>IF(LEN(detail!W2)&lt;1,"", detail!W2)</f>
        <v/>
      </c>
      <c r="D18" s="20">
        <f>IF(LEN(detail!Q2)&lt;1,"",detail!Q2)</f>
        <v/>
      </c>
      <c r="E18" s="21" t="n"/>
      <c r="F18" s="7">
        <f>DOLLAR(IF(LEN(detail!AC2)&lt;1,"",detail!AC2), 0)</f>
        <v/>
      </c>
      <c r="G18" s="20">
        <f>IF(LEN(detail!AA2)&lt;1,"",detail!AA2)</f>
        <v/>
      </c>
    </row>
    <row r="19">
      <c r="B19" s="9">
        <f>IF(LEN(detail!L3)&lt;1,"",detail!L3)</f>
        <v/>
      </c>
      <c r="C19" s="9">
        <f>IF(LEN(detail!W3)&lt;1,"", detail!W3)</f>
        <v/>
      </c>
      <c r="D19" s="20">
        <f>IF(LEN(detail!Q3)&lt;1,"",detail!Q3)</f>
        <v/>
      </c>
      <c r="E19" s="21" t="n"/>
      <c r="F19" s="7">
        <f>DOLLAR(IF(LEN(detail!AC3)&lt;1,"",detail!AC3), 0)</f>
        <v/>
      </c>
      <c r="G19" s="20">
        <f>IF(LEN(detail!AA3)&lt;1,"",detail!AA3)</f>
        <v/>
      </c>
    </row>
    <row r="20">
      <c r="B20" s="9">
        <f>IF(LEN(detail!L4)&lt;1,"",detail!L4)</f>
        <v/>
      </c>
      <c r="C20" s="9">
        <f>IF(LEN(detail!W4)&lt;1,"", detail!W4)</f>
        <v/>
      </c>
      <c r="D20" s="20">
        <f>IF(LEN(detail!Q4)&lt;1,"",detail!Q4)</f>
        <v/>
      </c>
      <c r="E20" s="21" t="n"/>
      <c r="F20" s="7">
        <f>DOLLAR(IF(LEN(detail!AC4)&lt;1,"",detail!AC4), 0)</f>
        <v/>
      </c>
      <c r="G20" s="20">
        <f>IF(LEN(detail!AA4)&lt;1,"",detail!AA4)</f>
        <v/>
      </c>
    </row>
    <row r="21">
      <c r="B21" s="9">
        <f>IF(LEN(detail!L5)&lt;1,"",detail!L5)</f>
        <v/>
      </c>
      <c r="C21" s="9">
        <f>IF(LEN(detail!W5)&lt;1,"", detail!W5)</f>
        <v/>
      </c>
      <c r="D21" s="20">
        <f>IF(LEN(detail!Q5)&lt;1,"",detail!Q5)</f>
        <v/>
      </c>
      <c r="E21" s="21" t="n"/>
      <c r="F21" s="7">
        <f>DOLLAR(IF(LEN(detail!AC5)&lt;1,"",detail!AC5), 0)</f>
        <v/>
      </c>
      <c r="G21" s="20">
        <f>IF(LEN(detail!AA5)&lt;1,"",detail!AA5)</f>
        <v/>
      </c>
    </row>
    <row r="22">
      <c r="B22" s="9">
        <f>IF(LEN(detail!L6)&lt;1,"",detail!L6)</f>
        <v/>
      </c>
      <c r="C22" s="9">
        <f>IF(LEN(detail!W6)&lt;1,"", detail!W6)</f>
        <v/>
      </c>
      <c r="D22" s="20">
        <f>IF(LEN(detail!Q6)&lt;1,"",detail!Q6)</f>
        <v/>
      </c>
      <c r="E22" s="21" t="n"/>
      <c r="F22" s="7">
        <f>DOLLAR(IF(LEN(detail!AC6)&lt;1,"",detail!AC6), 0)</f>
        <v/>
      </c>
      <c r="G22" s="20">
        <f>IF(LEN(detail!AA6)&lt;1,"",detail!AA6)</f>
        <v/>
      </c>
    </row>
    <row r="23">
      <c r="B23" s="9">
        <f>IF(LEN(detail!L7)&lt;1,"",detail!L7)</f>
        <v/>
      </c>
      <c r="C23" s="9">
        <f>IF(LEN(detail!W7)&lt;1,"", detail!W7)</f>
        <v/>
      </c>
      <c r="D23" s="20">
        <f>IF(LEN(detail!Q7)&lt;1,"",detail!Q7)</f>
        <v/>
      </c>
      <c r="E23" s="21" t="n"/>
      <c r="F23" s="7">
        <f>DOLLAR(IF(LEN(detail!AC7)&lt;1,"",detail!AC7), 0)</f>
        <v/>
      </c>
      <c r="G23" s="20">
        <f>IF(LEN(detail!AA7)&lt;1,"",detail!AA7)</f>
        <v/>
      </c>
    </row>
    <row r="24">
      <c r="B24" s="9">
        <f>IF(LEN(detail!L8)&lt;1,"",detail!L8)</f>
        <v/>
      </c>
      <c r="C24" s="9">
        <f>IF(LEN(detail!W8)&lt;1,"", detail!W8)</f>
        <v/>
      </c>
      <c r="D24" s="20">
        <f>IF(LEN(detail!Q8)&lt;1,"",detail!Q8)</f>
        <v/>
      </c>
      <c r="E24" s="21" t="n"/>
      <c r="F24" s="7">
        <f>DOLLAR(IF(LEN(detail!AC8)&lt;1,"",detail!AC8), 0)</f>
        <v/>
      </c>
      <c r="G24" s="20">
        <f>IF(LEN(detail!AA8)&lt;1,"",detail!AA8)</f>
        <v/>
      </c>
    </row>
    <row r="25">
      <c r="B25" s="9">
        <f>IF(LEN(detail!L9)&lt;1,"",detail!L9)</f>
        <v/>
      </c>
      <c r="C25" s="9">
        <f>IF(LEN(detail!W9)&lt;1,"", detail!W9)</f>
        <v/>
      </c>
      <c r="D25" s="20">
        <f>IF(LEN(detail!Q9)&lt;1,"",detail!Q9)</f>
        <v/>
      </c>
      <c r="E25" s="21" t="n"/>
      <c r="F25" s="7">
        <f>DOLLAR(IF(LEN(detail!AC9)&lt;1,"",detail!AC9), 0)</f>
        <v/>
      </c>
      <c r="G25" s="20">
        <f>IF(LEN(detail!AA9)&lt;1,"",detail!AA9)</f>
        <v/>
      </c>
    </row>
    <row r="26">
      <c r="B26" s="9">
        <f>IF(LEN(detail!L10)&lt;1,"",detail!L10)</f>
        <v/>
      </c>
      <c r="C26" s="9">
        <f>IF(LEN(detail!W10)&lt;1,"", detail!W10)</f>
        <v/>
      </c>
      <c r="D26" s="20">
        <f>IF(LEN(detail!Q10)&lt;1,"",detail!Q10)</f>
        <v/>
      </c>
      <c r="E26" s="21" t="n"/>
      <c r="F26" s="7">
        <f>DOLLAR(IF(LEN(detail!AC10)&lt;1,"",detail!AC10), 0)</f>
        <v/>
      </c>
      <c r="G26" s="20">
        <f>IF(LEN(detail!AA10)&lt;1,"",detail!AA10)</f>
        <v/>
      </c>
    </row>
    <row r="27">
      <c r="B27" s="9">
        <f>IF(LEN(detail!L11)&lt;1,"",detail!L11)</f>
        <v/>
      </c>
      <c r="C27" s="9">
        <f>IF(LEN(detail!W11)&lt;1,"", detail!W11)</f>
        <v/>
      </c>
      <c r="D27" s="20">
        <f>IF(LEN(detail!Q11)&lt;1,"",detail!Q11)</f>
        <v/>
      </c>
      <c r="E27" s="21" t="n"/>
      <c r="F27" s="7">
        <f>DOLLAR(IF(LEN(detail!AC11)&lt;1,"",detail!AC11), 0)</f>
        <v/>
      </c>
      <c r="G27" s="20">
        <f>IF(LEN(detail!AA11)&lt;1,"",detail!AA11)</f>
        <v/>
      </c>
    </row>
    <row r="28">
      <c r="B28" s="9">
        <f>IF(LEN(detail!L12)&lt;1,"",detail!L12)</f>
        <v/>
      </c>
      <c r="C28" s="9">
        <f>IF(LEN(detail!W12)&lt;1,"", detail!W12)</f>
        <v/>
      </c>
      <c r="D28" s="20">
        <f>IF(LEN(detail!Q12)&lt;1,"",detail!Q12)</f>
        <v/>
      </c>
      <c r="E28" s="21" t="n"/>
      <c r="F28" s="7">
        <f>DOLLAR(IF(LEN(detail!AC12)&lt;1,"",detail!AC12), 0)</f>
        <v/>
      </c>
      <c r="G28" s="20">
        <f>IF(LEN(detail!AA12)&lt;1,"",detail!AA12)</f>
        <v/>
      </c>
    </row>
    <row r="29">
      <c r="B29" s="9">
        <f>IF(LEN(detail!L13)&lt;1,"",detail!L13)</f>
        <v/>
      </c>
      <c r="C29" s="9">
        <f>IF(LEN(detail!W13)&lt;1,"", detail!W13)</f>
        <v/>
      </c>
      <c r="D29" s="20">
        <f>IF(LEN(detail!Q13)&lt;1,"",detail!Q13)</f>
        <v/>
      </c>
      <c r="E29" s="21" t="n"/>
      <c r="F29" s="7">
        <f>DOLLAR(IF(LEN(detail!AC13)&lt;1,"",detail!AC13), 0)</f>
        <v/>
      </c>
      <c r="G29" s="20">
        <f>IF(LEN(detail!AA13)&lt;1,"",detail!AA13)</f>
        <v/>
      </c>
    </row>
    <row r="30">
      <c r="B30" s="9">
        <f>IF(LEN(detail!L14)&lt;1,"",detail!L14)</f>
        <v/>
      </c>
      <c r="C30" s="9">
        <f>IF(LEN(detail!W14)&lt;1,"", detail!W14)</f>
        <v/>
      </c>
      <c r="D30" s="20">
        <f>IF(LEN(detail!Q14)&lt;1,"",detail!Q14)</f>
        <v/>
      </c>
      <c r="E30" s="21" t="n"/>
      <c r="F30" s="7">
        <f>DOLLAR(IF(LEN(detail!AC14)&lt;1,"",detail!AC14), 0)</f>
        <v/>
      </c>
      <c r="G30" s="20">
        <f>IF(LEN(detail!AA14)&lt;1,"",detail!AA14)</f>
        <v/>
      </c>
    </row>
    <row r="31">
      <c r="B31" s="9">
        <f>IF(LEN(detail!L15)&lt;1,"",detail!L15)</f>
        <v/>
      </c>
      <c r="C31" s="9">
        <f>IF(LEN(detail!W15)&lt;1,"", detail!W15)</f>
        <v/>
      </c>
      <c r="D31" s="20">
        <f>IF(LEN(detail!Q15)&lt;1,"",detail!Q15)</f>
        <v/>
      </c>
      <c r="E31" s="21" t="n"/>
      <c r="F31" s="7">
        <f>DOLLAR(IF(LEN(detail!AC15)&lt;1,"",detail!AC15), 0)</f>
        <v/>
      </c>
      <c r="G31" s="20">
        <f>IF(LEN(detail!AA15)&lt;1,"",detail!AA15)</f>
        <v/>
      </c>
    </row>
    <row r="32">
      <c r="B32" s="9">
        <f>IF(LEN(detail!L16)&lt;1,"",detail!L16)</f>
        <v/>
      </c>
      <c r="C32" s="9">
        <f>IF(LEN(detail!W16)&lt;1,"", detail!W16)</f>
        <v/>
      </c>
      <c r="D32" s="20">
        <f>IF(LEN(detail!Q16)&lt;1,"",detail!Q16)</f>
        <v/>
      </c>
      <c r="E32" s="21" t="n"/>
      <c r="F32" s="7">
        <f>DOLLAR(IF(LEN(detail!AC16)&lt;1,"",detail!AC16), 0)</f>
        <v/>
      </c>
      <c r="G32" s="20">
        <f>IF(LEN(detail!AA16)&lt;1,"",detail!AA16)</f>
        <v/>
      </c>
    </row>
    <row r="33">
      <c r="B33" s="9">
        <f>IF(LEN(detail!L17)&lt;1,"",detail!L17)</f>
        <v/>
      </c>
      <c r="C33" s="9">
        <f>IF(LEN(detail!W17)&lt;1,"", detail!W17)</f>
        <v/>
      </c>
      <c r="D33" s="20">
        <f>IF(LEN(detail!Q17)&lt;1,"",detail!Q17)</f>
        <v/>
      </c>
      <c r="E33" s="21" t="n"/>
      <c r="F33" s="7">
        <f>DOLLAR(IF(LEN(detail!AC17)&lt;1,"",detail!AC17), 0)</f>
        <v/>
      </c>
      <c r="G33" s="20">
        <f>IF(LEN(detail!AA17)&lt;1,"",detail!AA17)</f>
        <v/>
      </c>
    </row>
    <row r="34">
      <c r="B34" s="9">
        <f>IF(LEN(detail!L18)&lt;1,"",detail!L18)</f>
        <v/>
      </c>
      <c r="C34" s="9">
        <f>IF(LEN(detail!W18)&lt;1,"", detail!W18)</f>
        <v/>
      </c>
      <c r="D34" s="20">
        <f>IF(LEN(detail!Q18)&lt;1,"",detail!Q18)</f>
        <v/>
      </c>
      <c r="E34" s="21" t="n"/>
      <c r="F34" s="7">
        <f>DOLLAR(IF(LEN(detail!AC18)&lt;1,"",detail!AC18), 0)</f>
        <v/>
      </c>
      <c r="G34" s="20">
        <f>IF(LEN(detail!AA18)&lt;1,"",detail!AA18)</f>
        <v/>
      </c>
    </row>
    <row r="35">
      <c r="B35" s="9">
        <f>IF(LEN(detail!L19)&lt;1,"",detail!L19)</f>
        <v/>
      </c>
      <c r="C35" s="9">
        <f>IF(LEN(detail!W19)&lt;1,"", detail!W19)</f>
        <v/>
      </c>
      <c r="D35" s="20">
        <f>IF(LEN(detail!Q19)&lt;1,"",detail!Q19)</f>
        <v/>
      </c>
      <c r="E35" s="21" t="n"/>
      <c r="F35" s="7">
        <f>DOLLAR(IF(LEN(detail!AC19)&lt;1,"",detail!AC19), 0)</f>
        <v/>
      </c>
      <c r="G35" s="20">
        <f>IF(LEN(detail!AA19)&lt;1,"",detail!AA19)</f>
        <v/>
      </c>
    </row>
    <row r="36">
      <c r="B36" s="9">
        <f>IF(LEN(detail!L20)&lt;1,"",detail!L20)</f>
        <v/>
      </c>
      <c r="C36" s="9">
        <f>IF(LEN(detail!W20)&lt;1,"", detail!W20)</f>
        <v/>
      </c>
      <c r="D36" s="20">
        <f>IF(LEN(detail!Q20)&lt;1,"",detail!Q20)</f>
        <v/>
      </c>
      <c r="E36" s="21" t="n"/>
      <c r="F36" s="7">
        <f>DOLLAR(IF(LEN(detail!AC20)&lt;1,"",detail!AC20), 0)</f>
        <v/>
      </c>
      <c r="G36" s="20">
        <f>IF(LEN(detail!AA20)&lt;1,"",detail!AA20)</f>
        <v/>
      </c>
    </row>
    <row r="37">
      <c r="B37" s="9">
        <f>IF(LEN(detail!L21)&lt;1,"",detail!L21)</f>
        <v/>
      </c>
      <c r="C37" s="9">
        <f>IF(LEN(detail!W21)&lt;1,"", detail!W21)</f>
        <v/>
      </c>
      <c r="D37" s="20">
        <f>IF(LEN(detail!Q21)&lt;1,"",detail!Q21)</f>
        <v/>
      </c>
      <c r="E37" s="21" t="n"/>
      <c r="F37" s="7">
        <f>DOLLAR(IF(LEN(detail!AC21)&lt;1,"",detail!AC21), 0)</f>
        <v/>
      </c>
      <c r="G37" s="20">
        <f>IF(LEN(detail!AA21)&lt;1,"",detail!AA21)</f>
        <v/>
      </c>
    </row>
    <row r="38">
      <c r="B38" s="9">
        <f>IF(LEN(detail!L22)&lt;1,"",detail!L22)</f>
        <v/>
      </c>
      <c r="C38" s="9">
        <f>IF(LEN(detail!W22)&lt;1,"", detail!W22)</f>
        <v/>
      </c>
      <c r="D38" s="20">
        <f>IF(LEN(detail!Q22)&lt;1,"",detail!Q22)</f>
        <v/>
      </c>
      <c r="E38" s="21" t="n"/>
      <c r="F38" s="7">
        <f>DOLLAR(IF(LEN(detail!AC22)&lt;1,"",detail!AC22), 0)</f>
        <v/>
      </c>
      <c r="G38" s="20">
        <f>IF(LEN(detail!AA22)&lt;1,"",detail!AA22)</f>
        <v/>
      </c>
    </row>
    <row r="39">
      <c r="B39" s="9">
        <f>IF(LEN(detail!L23)&lt;1,"",detail!L23)</f>
        <v/>
      </c>
      <c r="C39" s="9">
        <f>IF(LEN(detail!W23)&lt;1,"", detail!W23)</f>
        <v/>
      </c>
      <c r="D39" s="20">
        <f>IF(LEN(detail!Q23)&lt;1,"",detail!Q23)</f>
        <v/>
      </c>
      <c r="E39" s="21" t="n"/>
      <c r="F39" s="7">
        <f>DOLLAR(IF(LEN(detail!AC23)&lt;1,"",detail!AC23), 0)</f>
        <v/>
      </c>
      <c r="G39" s="20">
        <f>IF(LEN(detail!AA23)&lt;1,"",detail!AA23)</f>
        <v/>
      </c>
    </row>
  </sheetData>
  <mergeCells count="30">
    <mergeCell ref="E12:F12"/>
    <mergeCell ref="D20:E20"/>
    <mergeCell ref="D19:E19"/>
    <mergeCell ref="D34:E34"/>
    <mergeCell ref="E9:G9"/>
    <mergeCell ref="D22:E22"/>
    <mergeCell ref="D36:E36"/>
    <mergeCell ref="D31:E31"/>
    <mergeCell ref="D21:E21"/>
    <mergeCell ref="E10:F10"/>
    <mergeCell ref="D27:E27"/>
    <mergeCell ref="D32:E32"/>
    <mergeCell ref="E13:F13"/>
    <mergeCell ref="D17:E17"/>
    <mergeCell ref="E11:F11"/>
    <mergeCell ref="D37:E37"/>
    <mergeCell ref="D28:E28"/>
    <mergeCell ref="D18:E18"/>
    <mergeCell ref="B9:C9"/>
    <mergeCell ref="D39:E39"/>
    <mergeCell ref="D25:E25"/>
    <mergeCell ref="B16:G16"/>
    <mergeCell ref="D24:E24"/>
    <mergeCell ref="D30:E30"/>
    <mergeCell ref="D33:E33"/>
    <mergeCell ref="D29:E29"/>
    <mergeCell ref="D23:E23"/>
    <mergeCell ref="D38:E38"/>
    <mergeCell ref="D26:E26"/>
    <mergeCell ref="D35:E35"/>
  </mergeCells>
  <conditionalFormatting sqref="B18:D39 F18:G39">
    <cfRule type="containsErrors" priority="1" dxfId="0">
      <formula>ISERROR(B18)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6"/>
  <sheetViews>
    <sheetView workbookViewId="0">
      <selection activeCell="I13" sqref="I13"/>
    </sheetView>
    <sheetView workbookViewId="1">
      <selection activeCell="A1" sqref="A1"/>
    </sheetView>
  </sheetViews>
  <sheetFormatPr baseColWidth="8" defaultRowHeight="15"/>
  <cols>
    <col width="19.5703125" customWidth="1" min="1" max="1"/>
    <col width="23.7109375" bestFit="1" customWidth="1" min="2" max="2"/>
  </cols>
  <sheetData>
    <row r="1">
      <c r="A1" t="inlineStr">
        <is>
          <t>Name:</t>
        </is>
      </c>
      <c r="B1" t="inlineStr">
        <is>
          <t>Tanner Kirk</t>
        </is>
      </c>
    </row>
    <row r="2">
      <c r="A2" t="inlineStr">
        <is>
          <t>Email:</t>
        </is>
      </c>
      <c r="B2" t="inlineStr">
        <is>
          <t>tkirk@cvrx.com</t>
        </is>
      </c>
    </row>
    <row r="3">
      <c r="A3" t="inlineStr">
        <is>
          <t>ASD:</t>
        </is>
      </c>
      <c r="B3" t="inlineStr">
        <is>
          <t>esabo@cvrx.com</t>
        </is>
      </c>
    </row>
    <row r="4">
      <c r="A4" t="inlineStr">
        <is>
          <t>Territory:</t>
        </is>
      </c>
      <c r="B4" t="inlineStr">
        <is>
          <t>NORTHEAST (KIRK)</t>
        </is>
      </c>
    </row>
    <row r="5">
      <c r="A5" t="inlineStr">
        <is>
          <t>Role:</t>
        </is>
      </c>
      <c r="B5" t="inlineStr">
        <is>
          <t>Associate Territory Manager</t>
        </is>
      </c>
    </row>
    <row r="6">
      <c r="A6" t="inlineStr">
        <is>
          <t>Month:</t>
        </is>
      </c>
      <c r="B6" t="inlineStr">
        <is>
          <t>January</t>
        </is>
      </c>
    </row>
    <row r="19" ht="15.95" customHeight="1"/>
    <row r="20" ht="15.95" customHeight="1"/>
    <row r="21" ht="3.95" customHeight="1"/>
    <row r="22" ht="3.9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YYYYMM</t>
        </is>
      </c>
      <c r="B1" t="inlineStr">
        <is>
          <t>EID</t>
        </is>
      </c>
      <c r="C1" t="inlineStr">
        <is>
          <t>YYYYQQ</t>
        </is>
      </c>
      <c r="D1" t="inlineStr">
        <is>
          <t>ROLE</t>
        </is>
      </c>
      <c r="E1" t="inlineStr">
        <is>
          <t>STATUS</t>
        </is>
      </c>
      <c r="F1" t="inlineStr">
        <is>
          <t>VALUE</t>
        </is>
      </c>
      <c r="G1" t="inlineStr">
        <is>
          <t>CATEGORY</t>
        </is>
      </c>
      <c r="H1" t="inlineStr">
        <is>
          <t>Notes</t>
        </is>
      </c>
    </row>
    <row r="2">
      <c r="A2" t="inlineStr">
        <is>
          <t>2026_01</t>
        </is>
      </c>
      <c r="B2" t="inlineStr">
        <is>
          <t>tkirk@cvrx.com</t>
        </is>
      </c>
      <c r="C2" t="inlineStr">
        <is>
          <t>2026_Q1</t>
        </is>
      </c>
      <c r="D2" t="inlineStr">
        <is>
          <t>ATM</t>
        </is>
      </c>
      <c r="E2" t="inlineStr">
        <is>
          <t>ACTIVE</t>
        </is>
      </c>
      <c r="F2" t="n">
        <v>0</v>
      </c>
      <c r="G2" t="inlineStr">
        <is>
          <t>SALES</t>
        </is>
      </c>
    </row>
    <row r="3">
      <c r="A3" t="inlineStr">
        <is>
          <t>2026_01</t>
        </is>
      </c>
      <c r="B3" t="inlineStr">
        <is>
          <t>tkirk@cvrx.com</t>
        </is>
      </c>
      <c r="C3" t="inlineStr">
        <is>
          <t>2026_Q1</t>
        </is>
      </c>
      <c r="D3" t="inlineStr">
        <is>
          <t>ATM</t>
        </is>
      </c>
      <c r="E3" t="inlineStr">
        <is>
          <t>ACTIVE</t>
        </is>
      </c>
      <c r="F3" t="n">
        <v>0</v>
      </c>
      <c r="G3" t="inlineStr">
        <is>
          <t>PO_AMT</t>
        </is>
      </c>
    </row>
    <row r="4">
      <c r="A4" t="inlineStr">
        <is>
          <t>2026_01</t>
        </is>
      </c>
      <c r="B4" t="inlineStr">
        <is>
          <t>tkirk@cvrx.com</t>
        </is>
      </c>
      <c r="C4" t="inlineStr">
        <is>
          <t>2026_Q1</t>
        </is>
      </c>
      <c r="D4" t="inlineStr">
        <is>
          <t>ATM</t>
        </is>
      </c>
      <c r="E4" t="inlineStr">
        <is>
          <t>ACTIVE</t>
        </is>
      </c>
      <c r="F4" t="n">
        <v>0</v>
      </c>
      <c r="G4" t="inlineStr">
        <is>
          <t>IMPLANT_UNITS</t>
        </is>
      </c>
    </row>
    <row r="5">
      <c r="A5" t="inlineStr">
        <is>
          <t>2026_01</t>
        </is>
      </c>
      <c r="B5" t="inlineStr">
        <is>
          <t>tkirk@cvrx.com</t>
        </is>
      </c>
      <c r="C5" t="inlineStr">
        <is>
          <t>2026_Q1</t>
        </is>
      </c>
      <c r="D5" t="inlineStr">
        <is>
          <t>ATM</t>
        </is>
      </c>
      <c r="E5" t="inlineStr">
        <is>
          <t>ACTIVE</t>
        </is>
      </c>
      <c r="F5" t="n">
        <v>0</v>
      </c>
      <c r="G5" t="inlineStr">
        <is>
          <t>REVENUE_UNITS</t>
        </is>
      </c>
    </row>
    <row r="6">
      <c r="A6" t="inlineStr">
        <is>
          <t>2026_01</t>
        </is>
      </c>
      <c r="B6" t="inlineStr">
        <is>
          <t>tkirk@cvrx.com</t>
        </is>
      </c>
      <c r="C6" t="inlineStr">
        <is>
          <t>2026_Q1</t>
        </is>
      </c>
      <c r="D6" t="inlineStr">
        <is>
          <t>ATM</t>
        </is>
      </c>
      <c r="E6" t="inlineStr">
        <is>
          <t>ACTIVE</t>
        </is>
      </c>
      <c r="F6" t="n">
        <v>0</v>
      </c>
      <c r="G6" t="inlineStr">
        <is>
          <t>YTD_PO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ATM_EMAIL</t>
        </is>
      </c>
      <c r="B1" t="inlineStr">
        <is>
          <t>ATM_NAME</t>
        </is>
      </c>
      <c r="C1" t="inlineStr">
        <is>
          <t>REGION</t>
        </is>
      </c>
      <c r="D1" t="inlineStr">
        <is>
          <t>REGION_ID</t>
        </is>
      </c>
      <c r="E1" t="inlineStr">
        <is>
          <t>CLOSEDATE</t>
        </is>
      </c>
      <c r="F1" t="inlineStr">
        <is>
          <t>CLOSE_YYYYMM</t>
        </is>
      </c>
      <c r="G1" t="inlineStr">
        <is>
          <t>CLOSE_YYYYQQ</t>
        </is>
      </c>
      <c r="H1" t="inlineStr">
        <is>
          <t>IMPLANTED_DT</t>
        </is>
      </c>
      <c r="I1" t="inlineStr">
        <is>
          <t>IMPLANTED_YYYYMM</t>
        </is>
      </c>
      <c r="J1" t="inlineStr">
        <is>
          <t>IMPLANTED_YYYYQQ</t>
        </is>
      </c>
      <c r="K1" t="inlineStr">
        <is>
          <t>DHC_IDN_NAME__C</t>
        </is>
      </c>
      <c r="L1" t="inlineStr">
        <is>
          <t>ACCOUNT_INDICATION__C</t>
        </is>
      </c>
      <c r="M1" t="inlineStr">
        <is>
          <t>ACT_ID</t>
        </is>
      </c>
      <c r="N1" t="inlineStr">
        <is>
          <t>ACT_OWNER_EMAIL</t>
        </is>
      </c>
      <c r="O1" t="inlineStr">
        <is>
          <t>OPP_OWNER_EMAIL</t>
        </is>
      </c>
      <c r="P1" t="inlineStr">
        <is>
          <t>OPP_ID</t>
        </is>
      </c>
      <c r="Q1" t="inlineStr">
        <is>
          <t>OPP_NAME</t>
        </is>
      </c>
      <c r="R1" t="inlineStr">
        <is>
          <t>PHYSICIAN</t>
        </is>
      </c>
      <c r="S1" t="inlineStr">
        <is>
          <t>PHYSICIAN_ID</t>
        </is>
      </c>
      <c r="T1" t="inlineStr">
        <is>
          <t>SALES_CREDIT_REP_EMAIL</t>
        </is>
      </c>
      <c r="U1" t="inlineStr">
        <is>
          <t>DE_FACTO_TERR_ID</t>
        </is>
      </c>
      <c r="V1" t="inlineStr">
        <is>
          <t>INDICATION_FOR_USE__C</t>
        </is>
      </c>
      <c r="W1" t="inlineStr">
        <is>
          <t>REASON_FOR_IMPLANT__C</t>
        </is>
      </c>
      <c r="X1" t="inlineStr">
        <is>
          <t>STAGENAME</t>
        </is>
      </c>
      <c r="Y1" t="inlineStr">
        <is>
          <t>ISIMPL</t>
        </is>
      </c>
      <c r="Z1" t="inlineStr">
        <is>
          <t>IMPLANT_UNITS</t>
        </is>
      </c>
      <c r="AA1" t="inlineStr">
        <is>
          <t>REVENUE_UNITS</t>
        </is>
      </c>
      <c r="AB1" t="inlineStr">
        <is>
          <t>SALES</t>
        </is>
      </c>
      <c r="AC1" t="inlineStr">
        <is>
          <t>SALES_COMMISSIONABLE</t>
        </is>
      </c>
      <c r="AD1" t="inlineStr">
        <is>
          <t>PAYOUT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 Sorensen</dc:creator>
  <dcterms:created xsi:type="dcterms:W3CDTF">2015-06-05T18:17:20Z</dcterms:created>
  <dcterms:modified xsi:type="dcterms:W3CDTF">2026-02-20T23:21:15Z</dcterms:modified>
  <cp:lastModifiedBy>Alan Sorensen</cp:lastModifiedBy>
  <cp:lastPrinted>2024-06-20T17:27:12Z</cp:lastPrinted>
</cp:coreProperties>
</file>