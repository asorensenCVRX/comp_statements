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orensen\PycharmProjects\comp_statements\Excel Files\"/>
    </mc:Choice>
  </mc:AlternateContent>
  <xr:revisionPtr revIDLastSave="0" documentId="13_ncr:1_{8A32B88D-FE0B-4CB9-B447-B01A5F3459EA}" xr6:coauthVersionLast="47" xr6:coauthVersionMax="47" xr10:uidLastSave="{00000000-0000-0000-0000-000000000000}"/>
  <bookViews>
    <workbookView xWindow="51480" yWindow="2715" windowWidth="29040" windowHeight="15720" xr2:uid="{00000000-000D-0000-FFFF-FFFF00000000}"/>
  </bookViews>
  <sheets>
    <sheet name="ATM" sheetId="1" r:id="rId1"/>
    <sheet name="PO" sheetId="2" r:id="rId2"/>
    <sheet name="MBOs" sheetId="3" r:id="rId3"/>
  </sheets>
  <definedNames>
    <definedName name="_xleta.TEXT" hidden="1" xlm="1">#NAME?</definedName>
    <definedName name="Default__tmpPayout" localSheetId="0" hidden="1">ATM!#REF!</definedName>
    <definedName name="Default__tmpPayout_1" localSheetId="0" hidden="1">ATM!#REF!</definedName>
    <definedName name="Default__tmpPayout_2" localSheetId="0" hidden="1">ATM!#REF!</definedName>
    <definedName name="ExternalData_1" localSheetId="2" hidden="1">MBOs!$A$1:$D$65</definedName>
    <definedName name="ExternalData_1" localSheetId="1" hidden="1">PO!$A$1:$N$10</definedName>
    <definedName name="_xlnm.Print_Area" localSheetId="0">ATM!$A$1:$F$17</definedName>
    <definedName name="rep">Query1[NAME_REP]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" l="1" a="1"/>
  <c r="C11" i="1" s="1"/>
  <c r="C6" i="1"/>
  <c r="F12" i="1" l="1"/>
  <c r="C4" i="1"/>
  <c r="C10" i="1" l="1"/>
  <c r="F10" i="1"/>
  <c r="F1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585904-1DAC-4C4E-9296-62A14792E4CC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2" xr16:uid="{1419C2CB-6055-42B5-9BD8-BC324FE16128}" keepAlive="1" name="Query - tblATM_MBO" description="Connection to the 'tblATM_MBO' query in the workbook." type="5" refreshedVersion="8" background="1" saveData="1">
    <dbPr connection="Provider=Microsoft.Mashup.OleDb.1;Data Source=$Workbook$;Location=tblATM_MBO;Extended Properties=&quot;&quot;" command="SELECT * FROM [tblATM_MBO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<sst xmlns="http://schemas.openxmlformats.org/spreadsheetml/2006/main" count="240" uniqueCount="112">
  <si>
    <t>Final Payout for Period</t>
  </si>
  <si>
    <t>Less Prior Paid</t>
  </si>
  <si>
    <t xml:space="preserve">CVRx US Variable Incentive Compensation Statement </t>
  </si>
  <si>
    <t>Tanner Kirk</t>
  </si>
  <si>
    <t>NAME_REP</t>
  </si>
  <si>
    <t>REP_EMAIL</t>
  </si>
  <si>
    <t>2025_01</t>
  </si>
  <si>
    <t>2025_02</t>
  </si>
  <si>
    <t>2025_03</t>
  </si>
  <si>
    <t>2025_04</t>
  </si>
  <si>
    <t>2025_05</t>
  </si>
  <si>
    <t>2025_06</t>
  </si>
  <si>
    <t>2025_07</t>
  </si>
  <si>
    <t>2025_08</t>
  </si>
  <si>
    <t>2025_09</t>
  </si>
  <si>
    <t>2025_10</t>
  </si>
  <si>
    <t>2025_11</t>
  </si>
  <si>
    <t>2025_12</t>
  </si>
  <si>
    <t>Luis Hinojos</t>
  </si>
  <si>
    <t>lhinojos@cvrx.com</t>
  </si>
  <si>
    <t>tkirk@cvrx.com</t>
  </si>
  <si>
    <t>EID</t>
  </si>
  <si>
    <t>YYYYMM</t>
  </si>
  <si>
    <t>MBO_COMPLETION</t>
  </si>
  <si>
    <t>QTD MBO Completion</t>
  </si>
  <si>
    <t>% Completion</t>
  </si>
  <si>
    <t>Payout</t>
  </si>
  <si>
    <t>QTD Incentive Earned</t>
  </si>
  <si>
    <t>Brooke Balla</t>
  </si>
  <si>
    <t>bballa@cvrx.com</t>
  </si>
  <si>
    <t>Associate Territory Manager</t>
  </si>
  <si>
    <t>Brooke Rummonds</t>
  </si>
  <si>
    <t>brummonds@cvrx.com</t>
  </si>
  <si>
    <t>Melanie DouBrava</t>
  </si>
  <si>
    <t>mdoubrava@cvrx.com</t>
  </si>
  <si>
    <t>Tara Sutherland</t>
  </si>
  <si>
    <t>tsutherland@cvrx.com</t>
  </si>
  <si>
    <t>Chase Brown</t>
  </si>
  <si>
    <t>cbrown@cvrx.com</t>
  </si>
  <si>
    <t>crogers@cvrx.com</t>
  </si>
  <si>
    <t>Tina Isabell</t>
  </si>
  <si>
    <t>tisabell@cvrx.com</t>
  </si>
  <si>
    <t>Month MBO Completion</t>
  </si>
  <si>
    <t>KEY</t>
  </si>
  <si>
    <t>bballa@cvrx.com2025_05</t>
  </si>
  <si>
    <t>bballa@cvrx.com2025_06</t>
  </si>
  <si>
    <t>bballa@cvrx.com2025_07</t>
  </si>
  <si>
    <t>bballa@cvrx.com2025_08</t>
  </si>
  <si>
    <t>brummonds@cvrx.com2025_07</t>
  </si>
  <si>
    <t>brummonds@cvrx.com2025_08</t>
  </si>
  <si>
    <t>cbrown@cvrx.com2025_08</t>
  </si>
  <si>
    <t>crogers@cvrx.com2025_07</t>
  </si>
  <si>
    <t>crogers@cvrx.com2025_08</t>
  </si>
  <si>
    <t>lhinojos@cvrx.com2025_03</t>
  </si>
  <si>
    <t>lhinojos@cvrx.com2025_04</t>
  </si>
  <si>
    <t>lhinojos@cvrx.com2025_05</t>
  </si>
  <si>
    <t>lhinojos@cvrx.com2025_06</t>
  </si>
  <si>
    <t>lhinojos@cvrx.com2025_07</t>
  </si>
  <si>
    <t>lhinojos@cvrx.com2025_08</t>
  </si>
  <si>
    <t>mdoubrava@cvrx.com2025_06</t>
  </si>
  <si>
    <t>mdoubrava@cvrx.com2025_07</t>
  </si>
  <si>
    <t>mdoubrava@cvrx.com2025_08</t>
  </si>
  <si>
    <t>tisabell@cvrx.com2025_06</t>
  </si>
  <si>
    <t>tisabell@cvrx.com2025_07</t>
  </si>
  <si>
    <t>tisabell@cvrx.com2025_08</t>
  </si>
  <si>
    <t>tkirk@cvrx.com2025_02</t>
  </si>
  <si>
    <t>tkirk@cvrx.com2025_03</t>
  </si>
  <si>
    <t>tkirk@cvrx.com2025_04</t>
  </si>
  <si>
    <t>tkirk@cvrx.com2025_05</t>
  </si>
  <si>
    <t>tkirk@cvrx.com2025_06</t>
  </si>
  <si>
    <t>tkirk@cvrx.com2025_07</t>
  </si>
  <si>
    <t>tkirk@cvrx.com2025_08</t>
  </si>
  <si>
    <t>tsutherland@cvrx.com2025_05</t>
  </si>
  <si>
    <t>tsutherland@cvrx.com2025_06</t>
  </si>
  <si>
    <t>tsutherland@cvrx.com2025_07</t>
  </si>
  <si>
    <t>tsutherland@cvrx.com2025_08</t>
  </si>
  <si>
    <t>bballa@cvrx.com2025_09</t>
  </si>
  <si>
    <t>brummonds@cvrx.com2025_09</t>
  </si>
  <si>
    <t>cbrown@cvrx.com2025_09</t>
  </si>
  <si>
    <t>lhinojos@cvrx.com2025_09</t>
  </si>
  <si>
    <t>mdoubrava@cvrx.com2025_09</t>
  </si>
  <si>
    <t>tisabell@cvrx.com2025_09</t>
  </si>
  <si>
    <t>tkirk@cvrx.com2025_09</t>
  </si>
  <si>
    <t>tsutherland@cvrx.com2025_09</t>
  </si>
  <si>
    <t>must replace months in C11 formula every quarter</t>
  </si>
  <si>
    <t>bballa@cvrx.com2025_10</t>
  </si>
  <si>
    <t>brummonds@cvrx.com2025_10</t>
  </si>
  <si>
    <t>cbrown@cvrx.com2025_10</t>
  </si>
  <si>
    <t>lhinojos@cvrx.com2025_10</t>
  </si>
  <si>
    <t>mdoubrava@cvrx.com2025_10</t>
  </si>
  <si>
    <t>tisabell@cvrx.com2025_10</t>
  </si>
  <si>
    <t>tkirk@cvrx.com2025_10</t>
  </si>
  <si>
    <t>tsutherland@cvrx.com2025_10</t>
  </si>
  <si>
    <t>Lillyann McGee</t>
  </si>
  <si>
    <t>lmcgee@cvrx.com</t>
  </si>
  <si>
    <t>bballa@cvrx.com2025_11</t>
  </si>
  <si>
    <t>brummonds@cvrx.com2025_11</t>
  </si>
  <si>
    <t>cbrown@cvrx.com2025_11</t>
  </si>
  <si>
    <t>lhinojos@cvrx.com2025_11</t>
  </si>
  <si>
    <t>mdoubrava@cvrx.com2025_11</t>
  </si>
  <si>
    <t>tisabell@cvrx.com2025_11</t>
  </si>
  <si>
    <t>tkirk@cvrx.com2025_11</t>
  </si>
  <si>
    <t>tsutherland@cvrx.com2025_11</t>
  </si>
  <si>
    <t>December 2025</t>
  </si>
  <si>
    <t>bballa@cvrx.com2025_12</t>
  </si>
  <si>
    <t>brummonds@cvrx.com2025_12</t>
  </si>
  <si>
    <t>cbrown@cvrx.com2025_12</t>
  </si>
  <si>
    <t>lhinojos@cvrx.com2025_12</t>
  </si>
  <si>
    <t>mdoubrava@cvrx.com2025_12</t>
  </si>
  <si>
    <t>tisabell@cvrx.com2025_12</t>
  </si>
  <si>
    <t>tkirk@cvrx.com2025_12</t>
  </si>
  <si>
    <t>tsutherland@cvrx.com2025_12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</si>
</sst>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0E37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2" fillId="0" borderId="0" xfId="0" applyFont="1" applyAlignment="1">
      <alignment vertical="center"/>
    </xf>
    <xf numFmtId="0" fontId="5" fillId="0" borderId="0" xfId="0" applyFont="1"/>
    <xf numFmtId="0" fontId="7" fillId="0" borderId="0" xfId="0" applyFont="1"/>
    <xf numFmtId="0" fontId="1" fillId="0" borderId="3" xfId="0" applyFont="1" applyBorder="1"/>
    <xf numFmtId="0" fontId="1" fillId="0" borderId="6" xfId="0" applyFont="1" applyBorder="1"/>
    <xf numFmtId="164" fontId="0" fillId="0" borderId="0" xfId="0" applyNumberFormat="1"/>
    <xf numFmtId="0" fontId="1" fillId="3" borderId="1" xfId="0" applyFont="1" applyFill="1" applyBorder="1"/>
    <xf numFmtId="164" fontId="1" fillId="3" borderId="2" xfId="0" applyNumberFormat="1" applyFont="1" applyFill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164" fontId="2" fillId="0" borderId="8" xfId="0" applyNumberFormat="1" applyFont="1" applyBorder="1" applyAlignment="1">
      <alignment horizontal="center"/>
    </xf>
    <xf numFmtId="0" fontId="1" fillId="0" borderId="1" xfId="0" applyFont="1" applyBorder="1"/>
    <xf numFmtId="10" fontId="2" fillId="0" borderId="2" xfId="1" applyNumberFormat="1" applyFont="1" applyBorder="1" applyAlignment="1">
      <alignment horizontal="center"/>
    </xf>
    <xf numFmtId="10" fontId="2" fillId="0" borderId="7" xfId="1" applyNumberFormat="1" applyFont="1" applyBorder="1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6">
    <dxf>
      <numFmt numFmtId="0" formatCode="General"/>
    </dxf>
    <dxf>
      <numFmt numFmtId="0" formatCode="General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E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2272472</xdr:colOff>
      <xdr:row>0</xdr:row>
      <xdr:rowOff>147569</xdr:rowOff>
    </xdr:from>
    <xdr:to>
      <xdr:col>5</xdr:col>
      <xdr:colOff>714930</xdr:colOff>
      <xdr:row>2</xdr:row>
      <xdr:rowOff>104362</xdr:rowOff>
    </xdr:to>
    <xdr:pic>
      <xdr:nvPicPr>
        <xdr:cNvPr id="3" name="Picture 2" descr="A picture containing text, sign, dark&#10;&#10;Description automatically generated">
          <a:extLst>
            <a:ext uri="{FF2B5EF4-FFF2-40B4-BE49-F238E27FC236}">
              <a16:creationId xmlns:a16="http://schemas.microsoft.com/office/drawing/2014/main" id="{CD16CB99-9E5C-194A-AB90-6BB1EFAAB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52272" y="147569"/>
          <a:ext cx="918958" cy="3631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4</xdr:row>
          <xdr:rowOff>66675</xdr:rowOff>
        </xdr:from>
        <xdr:to>
          <xdr:col>11</xdr:col>
          <xdr:colOff>628650</xdr:colOff>
          <xdr:row>8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SINGLE ATM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9</xdr:row>
          <xdr:rowOff>9525</xdr:rowOff>
        </xdr:from>
        <xdr:to>
          <xdr:col>11</xdr:col>
          <xdr:colOff>638175</xdr:colOff>
          <xdr:row>13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ALL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0F6EC2D-2937-4FB5-A6EA-7FF4BF8EADC5}" autoFormatId="16" applyNumberFormats="0" applyBorderFormats="0" applyFontFormats="0" applyPatternFormats="0" applyAlignmentFormats="0" applyWidthHeightFormats="0">
  <queryTableRefresh nextId="15">
    <queryTableFields count="14">
      <queryTableField id="1" name="NAME_REP" tableColumnId="1"/>
      <queryTableField id="2" name="REP_EMAIL" tableColumnId="2"/>
      <queryTableField id="3" name="2025_01" tableColumnId="3"/>
      <queryTableField id="4" name="2025_02" tableColumnId="4"/>
      <queryTableField id="5" name="2025_03" tableColumnId="5"/>
      <queryTableField id="6" name="2025_04" tableColumnId="6"/>
      <queryTableField id="7" name="2025_05" tableColumnId="7"/>
      <queryTableField id="8" name="2025_06" tableColumnId="8"/>
      <queryTableField id="9" name="2025_07" tableColumnId="9"/>
      <queryTableField id="10" name="2025_08" tableColumnId="10"/>
      <queryTableField id="11" name="2025_09" tableColumnId="11"/>
      <queryTableField id="12" name="2025_10" tableColumnId="12"/>
      <queryTableField id="13" name="2025_11" tableColumnId="13"/>
      <queryTableField id="14" name="2025_12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2DA631F-3833-45A8-9E4A-289E436A5E80}" autoFormatId="16" applyNumberFormats="0" applyBorderFormats="0" applyFontFormats="0" applyPatternFormats="0" applyAlignmentFormats="0" applyWidthHeightFormats="0">
  <queryTableRefresh nextId="5">
    <queryTableFields count="4">
      <queryTableField id="1" name="EID" tableColumnId="1"/>
      <queryTableField id="2" name="YYYYMM" tableColumnId="2"/>
      <queryTableField id="3" name="MBO_COMPLETION" tableColumnId="3"/>
      <queryTableField id="4" name="KEY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AE2F28-9B81-4311-A2B3-1268883FABB9}" name="Query1" displayName="Query1" ref="A1:N10" tableType="queryTable" totalsRowShown="0">
  <autoFilter ref="A1:N10" xr:uid="{C6AE2F28-9B81-4311-A2B3-1268883FABB9}"/>
  <tableColumns count="14">
    <tableColumn id="1" xr3:uid="{276BDE70-197D-426E-ADB3-19C0AE903C41}" uniqueName="1" name="NAME_REP" queryTableFieldId="1" dataDxfId="15"/>
    <tableColumn id="2" xr3:uid="{98905F88-32C8-4E97-8C1D-F0935FB0370C}" uniqueName="2" name="REP_EMAIL" queryTableFieldId="2" dataDxfId="14"/>
    <tableColumn id="3" xr3:uid="{AA3F6092-E66F-4BE5-93BF-017AB56DB31D}" uniqueName="3" name="2025_01" queryTableFieldId="3" dataDxfId="13"/>
    <tableColumn id="4" xr3:uid="{5FD677E1-A8C6-4A55-BD43-E7E460A4AAA1}" uniqueName="4" name="2025_02" queryTableFieldId="4" dataDxfId="12"/>
    <tableColumn id="5" xr3:uid="{ED63C779-CA71-49D1-93D6-EA0D74C6CA6B}" uniqueName="5" name="2025_03" queryTableFieldId="5" dataDxfId="11"/>
    <tableColumn id="6" xr3:uid="{20EDD75A-E97B-45C4-8AE5-71419254CF63}" uniqueName="6" name="2025_04" queryTableFieldId="6" dataDxfId="10"/>
    <tableColumn id="7" xr3:uid="{1E0537FE-5B2A-4EB5-99B7-CA75A9206264}" uniqueName="7" name="2025_05" queryTableFieldId="7" dataDxfId="9"/>
    <tableColumn id="8" xr3:uid="{408CBC2A-E5A1-4174-8786-4B20CDDE1D9B}" uniqueName="8" name="2025_06" queryTableFieldId="8" dataDxfId="8"/>
    <tableColumn id="9" xr3:uid="{79EB168C-040D-416B-BEC5-63B5CD859C9A}" uniqueName="9" name="2025_07" queryTableFieldId="9" dataDxfId="7"/>
    <tableColumn id="10" xr3:uid="{0F1782C0-7E20-4A35-8D4E-B3AE69311B44}" uniqueName="10" name="2025_08" queryTableFieldId="10" dataDxfId="6"/>
    <tableColumn id="11" xr3:uid="{7A410AEF-3CF7-4975-A8F1-C090E1884AF5}" uniqueName="11" name="2025_09" queryTableFieldId="11" dataDxfId="5"/>
    <tableColumn id="12" xr3:uid="{E201C38E-D6C2-4B80-964D-FD4116656DD8}" uniqueName="12" name="2025_10" queryTableFieldId="12" dataDxfId="4"/>
    <tableColumn id="13" xr3:uid="{FFC83CF2-E9D4-4971-BA3D-130C2A911D1C}" uniqueName="13" name="2025_11" queryTableFieldId="13" dataDxfId="3"/>
    <tableColumn id="14" xr3:uid="{D627CD15-4856-42E7-8C33-2C0264D71B0B}" uniqueName="14" name="2025_12" queryTableFieldId="14" dataDxfId="2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24CF49-8462-4F9B-ACC4-D8F77C1B8AE1}" name="tblATM_MBO" displayName="tblATM_MBO" ref="A1:D65" tableType="queryTable" totalsRowShown="0">
  <autoFilter ref="A1:D65" xr:uid="{7524CF49-8462-4F9B-ACC4-D8F77C1B8AE1}"/>
  <tableColumns count="4">
    <tableColumn id="1" xr3:uid="{2C83FE99-4A5A-4145-BB0C-D2B206CF27BF}" uniqueName="1" name="EID" queryTableFieldId="1" dataDxfId="1"/>
    <tableColumn id="2" xr3:uid="{CE633672-0769-4FF4-AF44-7A9D43B79A41}" uniqueName="2" name="YYYYMM" queryTableFieldId="2" dataDxfId="0"/>
    <tableColumn id="3" xr3:uid="{2DDC2B2A-FB39-412B-9077-5399EE71826E}" uniqueName="3" name="MBO_COMPLETION" queryTableFieldId="3"/>
    <tableColumn id="4" xr3:uid="{F7F33F1E-523A-46F1-81CD-57449C485458}" uniqueName="4" name="KEY" queryTableFieldId="4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7"/>
  <sheetViews>
    <sheetView showGridLines="0" tabSelected="1" zoomScale="110" zoomScaleNormal="110" zoomScaleSheetLayoutView="150" workbookViewId="0">
      <selection activeCell="C11" sqref="C11"/>
    </sheetView>
  </sheetViews>
  <sheetFormatPr defaultColWidth="9.140625" defaultRowHeight="15.75" x14ac:dyDescent="0.25"/>
  <cols>
    <col min="1" max="1" width="0.5703125" style="2" customWidth="1"/>
    <col min="2" max="2" width="32.28515625" style="2" customWidth="1"/>
    <col min="3" max="3" width="16.140625" style="2" bestFit="1" customWidth="1"/>
    <col min="4" max="4" width="3.140625" style="2" customWidth="1"/>
    <col min="5" max="5" width="37.140625" style="2" bestFit="1" customWidth="1"/>
    <col min="6" max="6" width="12.5703125" style="2" bestFit="1" customWidth="1"/>
    <col min="7" max="8" width="9.5703125" style="2" customWidth="1"/>
    <col min="9" max="9" width="9.42578125" style="2" bestFit="1" customWidth="1"/>
    <col min="10" max="11" width="9.140625" style="2"/>
    <col min="12" max="13" width="14.85546875" style="2" bestFit="1" customWidth="1"/>
    <col min="14" max="16" width="14" style="2" bestFit="1" customWidth="1"/>
    <col min="17" max="17" width="19.28515625" style="2" bestFit="1" customWidth="1"/>
    <col min="18" max="18" width="27.85546875" style="2" bestFit="1" customWidth="1"/>
    <col min="19" max="16384" width="9.140625" style="2"/>
  </cols>
  <sheetData>
    <row r="2" spans="1:8" x14ac:dyDescent="0.25">
      <c r="B2" s="1" t="s">
        <v>2</v>
      </c>
      <c r="H2" s="2" t="s">
        <v>84</v>
      </c>
    </row>
    <row r="4" spans="1:8" x14ac:dyDescent="0.25">
      <c r="B4" s="1" t="s">
        <v>28</v>
      </c>
      <c r="C4" s="5" t="str">
        <f>_xlfn.XLOOKUP(B4,PO!A:A,PO!B:B)</f>
        <v>bballa@cvrx.com</v>
      </c>
    </row>
    <row r="5" spans="1:8" x14ac:dyDescent="0.25">
      <c r="B5" s="1" t="s">
        <v>30</v>
      </c>
      <c r="C5" s="5"/>
    </row>
    <row r="6" spans="1:8" x14ac:dyDescent="0.25">
      <c r="B6" s="3" t="s">
        <v>103</v>
      </c>
      <c r="C6" s="5" t="str">
        <f>_xlfn.CONCAT(TEXT(B6, "YYYY"), "_", TEXT(B6, "MM"))</f>
        <v>2025_12</v>
      </c>
    </row>
    <row r="7" spans="1:8" x14ac:dyDescent="0.25">
      <c r="B7" s="5"/>
    </row>
    <row r="8" spans="1:8" ht="16.5" thickBot="1" x14ac:dyDescent="0.3"/>
    <row r="9" spans="1:8" ht="16.5" thickBot="1" x14ac:dyDescent="0.3">
      <c r="B9" s="17" t="s">
        <v>25</v>
      </c>
      <c r="C9" s="18"/>
      <c r="D9" s="4"/>
      <c r="E9" s="17" t="s">
        <v>26</v>
      </c>
      <c r="F9" s="18"/>
    </row>
    <row r="10" spans="1:8" x14ac:dyDescent="0.25">
      <c r="B10" s="7" t="s">
        <v>42</v>
      </c>
      <c r="C10" s="16">
        <f>IFERROR(_xlfn.XLOOKUP(_xlfn.CONCAT(C4, C6), MBOs!D:D, MBOs!C:C) / 0.3333333333, 0)</f>
        <v>0.99999900009999998</v>
      </c>
      <c r="E10" s="7" t="s">
        <v>27</v>
      </c>
      <c r="F10" s="12">
        <f>C11*7500</f>
        <v>0</v>
      </c>
    </row>
    <row r="11" spans="1:8" ht="16.5" thickBot="1" x14ac:dyDescent="0.3">
      <c r="B11" s="14" t="s">
        <v>24</v>
      </c>
      <c r="C11" s="15" cm="1">
        <f t="array" ref="C11">IFERROR(SUM(_xlfn.CHOOSECOLS(_xlfn._xlws.FILTER(MBOs!$A:$C, (ATM!$C$4=MBOs!$A:$A) * ISNUMBER(MATCH(MBOs!$B:$B, {"2026_01","2026_02","2026_03"}, 0))), 3)), 0)</f>
        <v>0</v>
      </c>
      <c r="E11" s="8" t="s">
        <v>1</v>
      </c>
      <c r="F11" s="13">
        <f>F10-F12</f>
        <v>-2499.9974999999999</v>
      </c>
    </row>
    <row r="12" spans="1:8" ht="16.5" thickBot="1" x14ac:dyDescent="0.3">
      <c r="A12" s="5"/>
      <c r="B12"/>
      <c r="C12"/>
      <c r="E12" s="10" t="s">
        <v>0</v>
      </c>
      <c r="F12" s="11">
        <f>INDEX(PO!$A:$N, MATCH(ATM!$B$4,PO!$A:$A,0), MATCH($C$6,PO!1:1, 0) )</f>
        <v>2499.9974999999999</v>
      </c>
    </row>
    <row r="13" spans="1:8" x14ac:dyDescent="0.25">
      <c r="B13"/>
      <c r="C13"/>
    </row>
    <row r="14" spans="1:8" x14ac:dyDescent="0.25">
      <c r="B14"/>
      <c r="C14"/>
    </row>
    <row r="15" spans="1:8" x14ac:dyDescent="0.25">
      <c r="B15"/>
      <c r="C15"/>
    </row>
    <row r="16" spans="1:8" x14ac:dyDescent="0.25">
      <c r="B16"/>
      <c r="C16"/>
    </row>
    <row r="17" spans="3:3" x14ac:dyDescent="0.25">
      <c r="C17" s="6"/>
    </row>
    <row r="18" spans="3:3" x14ac:dyDescent="0.25">
      <c r="C18" s="6"/>
    </row>
    <row r="19" spans="3:3" x14ac:dyDescent="0.25">
      <c r="C19" s="6"/>
    </row>
    <row r="20" spans="3:3" x14ac:dyDescent="0.25">
      <c r="C20" s="6"/>
    </row>
    <row r="21" spans="3:3" x14ac:dyDescent="0.25">
      <c r="C21" s="6"/>
    </row>
    <row r="22" spans="3:3" x14ac:dyDescent="0.25">
      <c r="C22" s="6"/>
    </row>
    <row r="23" spans="3:3" x14ac:dyDescent="0.25">
      <c r="C23" s="6"/>
    </row>
    <row r="24" spans="3:3" x14ac:dyDescent="0.25">
      <c r="C24" s="6"/>
    </row>
    <row r="25" spans="3:3" x14ac:dyDescent="0.25">
      <c r="C25" s="6"/>
    </row>
    <row r="26" spans="3:3" x14ac:dyDescent="0.25">
      <c r="C26" s="6"/>
    </row>
    <row r="27" spans="3:3" x14ac:dyDescent="0.25">
      <c r="C27" s="6"/>
    </row>
  </sheetData>
  <mergeCells count="2">
    <mergeCell ref="B9:C9"/>
    <mergeCell ref="E9:F9"/>
  </mergeCells>
  <phoneticPr fontId="6" type="noConversion"/>
  <dataValidations count="1">
    <dataValidation type="list" allowBlank="1" showInputMessage="1" showErrorMessage="1" sqref="B4" xr:uid="{370B95E1-87D9-46C6-8ED1-29E2887A9983}">
      <formula1>rep</formula1>
    </dataValidation>
  </dataValidations>
  <pageMargins left="0.7" right="0.7" top="0.75" bottom="0.75" header="0.3" footer="0.3"/>
  <pageSetup scale="84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veRangeAsPDF">
                <anchor moveWithCells="1" sizeWithCells="1">
                  <from>
                    <xdr:col>7</xdr:col>
                    <xdr:colOff>390525</xdr:colOff>
                    <xdr:row>4</xdr:row>
                    <xdr:rowOff>66675</xdr:rowOff>
                  </from>
                  <to>
                    <xdr:col>11</xdr:col>
                    <xdr:colOff>628650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aveAllAsPDF">
                <anchor moveWithCells="1" sizeWithCells="1">
                  <from>
                    <xdr:col>7</xdr:col>
                    <xdr:colOff>400050</xdr:colOff>
                    <xdr:row>9</xdr:row>
                    <xdr:rowOff>9525</xdr:rowOff>
                  </from>
                  <to>
                    <xdr:col>11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47B-22C8-41FD-AC09-5753B890AFD4}">
  <sheetPr codeName="Sheet2"/>
  <dimension ref="A1:N10"/>
  <sheetViews>
    <sheetView workbookViewId="0">
      <selection activeCell="F7" sqref="F7"/>
    </sheetView>
  </sheetViews>
  <sheetFormatPr defaultRowHeight="15" x14ac:dyDescent="0.25"/>
  <cols>
    <col min="1" max="1" width="18" bestFit="1" customWidth="1"/>
    <col min="2" max="2" width="21.85546875" bestFit="1" customWidth="1"/>
    <col min="3" max="14" width="10.28515625" style="9" bestFit="1" customWidth="1"/>
  </cols>
  <sheetData>
    <row r="1" spans="1:14" x14ac:dyDescent="0.25">
      <c r="A1" t="s">
        <v>4</v>
      </c>
      <c r="B1" t="s">
        <v>5</v>
      </c>
      <c r="C1" s="9" t="s">
        <v>6</v>
      </c>
      <c r="D1" s="9" t="s">
        <v>7</v>
      </c>
      <c r="E1" s="9" t="s">
        <v>8</v>
      </c>
      <c r="F1" s="9" t="s">
        <v>9</v>
      </c>
      <c r="G1" s="9" t="s">
        <v>10</v>
      </c>
      <c r="H1" s="9" t="s">
        <v>11</v>
      </c>
      <c r="I1" s="9" t="s">
        <v>12</v>
      </c>
      <c r="J1" s="9" t="s">
        <v>13</v>
      </c>
      <c r="K1" s="9" t="s">
        <v>14</v>
      </c>
      <c r="L1" s="9" t="s">
        <v>15</v>
      </c>
      <c r="M1" s="9" t="s">
        <v>16</v>
      </c>
      <c r="N1" s="9" t="s">
        <v>17</v>
      </c>
    </row>
    <row r="2" spans="1:14" x14ac:dyDescent="0.25">
      <c r="A2" t="s">
        <v>28</v>
      </c>
      <c r="B2" t="s">
        <v>29</v>
      </c>
      <c r="C2" s="9">
        <v>0</v>
      </c>
      <c r="D2" s="9">
        <v>0</v>
      </c>
      <c r="E2" s="9">
        <v>0</v>
      </c>
      <c r="F2" s="9">
        <v>0</v>
      </c>
      <c r="G2" s="9">
        <v>2499.9974999999999</v>
      </c>
      <c r="H2" s="9">
        <v>2499.9974999999999</v>
      </c>
      <c r="I2" s="9">
        <v>2499.9974999999999</v>
      </c>
      <c r="J2" s="9">
        <v>2499.9974999999999</v>
      </c>
      <c r="K2" s="9">
        <v>2499.9974999999999</v>
      </c>
      <c r="L2" s="9">
        <v>2499.9974999999999</v>
      </c>
      <c r="M2" s="9">
        <v>1999.9950000000001</v>
      </c>
      <c r="N2" s="9">
        <v>2499.9974999999999</v>
      </c>
    </row>
    <row r="3" spans="1:14" x14ac:dyDescent="0.25">
      <c r="A3" t="s">
        <v>31</v>
      </c>
      <c r="B3" t="s">
        <v>32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2499.9974999999999</v>
      </c>
      <c r="J3" s="9">
        <v>2124.9974999999999</v>
      </c>
      <c r="K3" s="9">
        <v>2124.9974999999999</v>
      </c>
      <c r="L3" s="9">
        <v>2325</v>
      </c>
      <c r="M3" s="9">
        <v>2374.9949999999999</v>
      </c>
      <c r="N3" s="9">
        <v>2250</v>
      </c>
    </row>
    <row r="4" spans="1:14" x14ac:dyDescent="0.25">
      <c r="A4" t="s">
        <v>37</v>
      </c>
      <c r="B4" t="s">
        <v>38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2499.9974999999999</v>
      </c>
      <c r="K4" s="9">
        <v>2250</v>
      </c>
      <c r="L4" s="9">
        <v>1999.9950000000001</v>
      </c>
      <c r="M4" s="9">
        <v>1875</v>
      </c>
      <c r="N4" s="9">
        <v>1749.9975000000002</v>
      </c>
    </row>
    <row r="5" spans="1:14" x14ac:dyDescent="0.25">
      <c r="A5" t="s">
        <v>18</v>
      </c>
      <c r="B5" t="s">
        <v>19</v>
      </c>
      <c r="C5" s="9">
        <v>0</v>
      </c>
      <c r="D5" s="9">
        <v>0</v>
      </c>
      <c r="E5" s="9">
        <v>2499.9974999999999</v>
      </c>
      <c r="F5" s="9">
        <v>2499.9974999999999</v>
      </c>
      <c r="G5" s="9">
        <v>2499.9974999999999</v>
      </c>
      <c r="H5" s="9">
        <v>2499.9974999999999</v>
      </c>
      <c r="I5" s="9">
        <v>2499.9974999999999</v>
      </c>
      <c r="J5" s="9">
        <v>2499.9974999999999</v>
      </c>
      <c r="K5" s="9">
        <v>1999.9950000000001</v>
      </c>
      <c r="L5" s="9">
        <v>1999.9950000000001</v>
      </c>
      <c r="M5" s="9">
        <v>1999.9950000000001</v>
      </c>
      <c r="N5" s="9">
        <v>1749.9975000000002</v>
      </c>
    </row>
    <row r="6" spans="1:14" x14ac:dyDescent="0.25">
      <c r="A6" t="s">
        <v>93</v>
      </c>
      <c r="B6" t="s">
        <v>94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9">
        <v>0</v>
      </c>
      <c r="K6" s="9">
        <v>0</v>
      </c>
      <c r="L6" s="9">
        <v>0</v>
      </c>
      <c r="M6" s="9">
        <v>0</v>
      </c>
      <c r="N6" s="9">
        <v>0</v>
      </c>
    </row>
    <row r="7" spans="1:14" x14ac:dyDescent="0.25">
      <c r="A7" t="s">
        <v>33</v>
      </c>
      <c r="B7" t="s">
        <v>34</v>
      </c>
      <c r="C7" s="9">
        <v>0</v>
      </c>
      <c r="D7" s="9">
        <v>0</v>
      </c>
      <c r="E7" s="9">
        <v>0</v>
      </c>
      <c r="F7" s="9">
        <v>0</v>
      </c>
      <c r="G7" s="9">
        <v>0</v>
      </c>
      <c r="H7" s="9">
        <v>2499.9974999999999</v>
      </c>
      <c r="I7" s="9">
        <v>2499.9974999999999</v>
      </c>
      <c r="J7" s="9">
        <v>2499.9974999999999</v>
      </c>
      <c r="K7" s="9">
        <v>2250</v>
      </c>
      <c r="L7" s="9">
        <v>2400</v>
      </c>
      <c r="M7" s="9">
        <v>2374.9949999999999</v>
      </c>
      <c r="N7" s="9">
        <v>2499.9974999999999</v>
      </c>
    </row>
    <row r="8" spans="1:14" x14ac:dyDescent="0.25">
      <c r="A8" t="s">
        <v>40</v>
      </c>
      <c r="B8" t="s">
        <v>41</v>
      </c>
      <c r="C8" s="9">
        <v>0</v>
      </c>
      <c r="D8" s="9">
        <v>0</v>
      </c>
      <c r="E8" s="9">
        <v>0</v>
      </c>
      <c r="F8" s="9">
        <v>0</v>
      </c>
      <c r="G8" s="9">
        <v>0</v>
      </c>
      <c r="H8" s="9">
        <v>2499.9974999999999</v>
      </c>
      <c r="I8" s="9">
        <v>2499.9974999999999</v>
      </c>
      <c r="J8" s="9">
        <v>2499.9974999999999</v>
      </c>
      <c r="K8" s="9">
        <v>2499.9974999999999</v>
      </c>
      <c r="L8" s="9">
        <v>2499.9974999999999</v>
      </c>
      <c r="M8" s="9">
        <v>2499.9974999999999</v>
      </c>
      <c r="N8" s="9">
        <v>2499.9974999999999</v>
      </c>
    </row>
    <row r="9" spans="1:14" x14ac:dyDescent="0.25">
      <c r="A9" t="s">
        <v>3</v>
      </c>
      <c r="B9" t="s">
        <v>20</v>
      </c>
      <c r="C9" s="9">
        <v>0</v>
      </c>
      <c r="D9" s="9">
        <v>2499.9974999999999</v>
      </c>
      <c r="E9" s="9">
        <v>2499.9974999999999</v>
      </c>
      <c r="F9" s="9">
        <v>2499.9974999999999</v>
      </c>
      <c r="G9" s="9">
        <v>2499.9974999999999</v>
      </c>
      <c r="H9" s="9">
        <v>2499.9974999999999</v>
      </c>
      <c r="I9" s="9">
        <v>2499.9974999999999</v>
      </c>
      <c r="J9" s="9">
        <v>2499.9974999999999</v>
      </c>
      <c r="K9" s="9">
        <v>1875</v>
      </c>
      <c r="L9" s="9">
        <v>1999.9950000000001</v>
      </c>
      <c r="M9" s="9">
        <v>750</v>
      </c>
      <c r="N9" s="9">
        <v>0</v>
      </c>
    </row>
    <row r="10" spans="1:14" x14ac:dyDescent="0.25">
      <c r="A10" t="s">
        <v>35</v>
      </c>
      <c r="B10" t="s">
        <v>36</v>
      </c>
      <c r="C10" s="9">
        <v>0</v>
      </c>
      <c r="D10" s="9">
        <v>0</v>
      </c>
      <c r="E10" s="9">
        <v>0</v>
      </c>
      <c r="F10" s="9">
        <v>0</v>
      </c>
      <c r="G10" s="9">
        <v>2499.9974999999999</v>
      </c>
      <c r="H10" s="9">
        <v>2499.9974999999999</v>
      </c>
      <c r="I10" s="9">
        <v>2499.9974999999999</v>
      </c>
      <c r="J10" s="9">
        <v>2499.9974999999999</v>
      </c>
      <c r="K10" s="9">
        <v>2499.9974999999999</v>
      </c>
      <c r="L10" s="9">
        <v>2499.9974999999999</v>
      </c>
      <c r="M10" s="9">
        <v>2499.9974999999999</v>
      </c>
      <c r="N10" s="9">
        <v>2499.9974999999999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8B09C-0122-42C6-BA9D-61A0664D933B}">
  <sheetPr codeName="Sheet3"/>
  <dimension ref="A1:D65"/>
  <sheetViews>
    <sheetView workbookViewId="0">
      <selection activeCell="C5" sqref="C5"/>
    </sheetView>
  </sheetViews>
  <sheetFormatPr defaultRowHeight="15" x14ac:dyDescent="0.25"/>
  <cols>
    <col min="1" max="1" width="21.85546875" bestFit="1" customWidth="1"/>
    <col min="2" max="2" width="11.5703125" bestFit="1" customWidth="1"/>
    <col min="3" max="3" width="20.85546875" bestFit="1" customWidth="1"/>
    <col min="4" max="4" width="29" bestFit="1" customWidth="1"/>
  </cols>
  <sheetData>
    <row r="1" spans="1:4" x14ac:dyDescent="0.25">
      <c r="A1" t="s">
        <v>21</v>
      </c>
      <c r="B1" t="s">
        <v>22</v>
      </c>
      <c r="C1" t="s">
        <v>23</v>
      </c>
      <c r="D1" t="s">
        <v>43</v>
      </c>
    </row>
    <row r="2" spans="1:4" x14ac:dyDescent="0.25">
      <c r="A2" t="s">
        <v>29</v>
      </c>
      <c r="B2" t="s">
        <v>10</v>
      </c>
      <c r="C2">
        <v>0.33333299999999999</v>
      </c>
      <c r="D2" t="s">
        <v>44</v>
      </c>
    </row>
    <row r="3" spans="1:4" x14ac:dyDescent="0.25">
      <c r="A3" t="s">
        <v>29</v>
      </c>
      <c r="B3" t="s">
        <v>11</v>
      </c>
      <c r="C3">
        <v>0.33333299999999999</v>
      </c>
      <c r="D3" t="s">
        <v>45</v>
      </c>
    </row>
    <row r="4" spans="1:4" x14ac:dyDescent="0.25">
      <c r="A4" t="s">
        <v>29</v>
      </c>
      <c r="B4" t="s">
        <v>12</v>
      </c>
      <c r="C4">
        <v>0.33333299999999999</v>
      </c>
      <c r="D4" t="s">
        <v>46</v>
      </c>
    </row>
    <row r="5" spans="1:4" x14ac:dyDescent="0.25">
      <c r="A5" t="s">
        <v>29</v>
      </c>
      <c r="B5" t="s">
        <v>13</v>
      </c>
      <c r="C5">
        <v>0.33333299999999999</v>
      </c>
      <c r="D5" t="s">
        <v>47</v>
      </c>
    </row>
    <row r="6" spans="1:4" x14ac:dyDescent="0.25">
      <c r="A6" t="s">
        <v>29</v>
      </c>
      <c r="B6" t="s">
        <v>14</v>
      </c>
      <c r="C6">
        <v>0.33333299999999999</v>
      </c>
      <c r="D6" t="s">
        <v>76</v>
      </c>
    </row>
    <row r="7" spans="1:4" x14ac:dyDescent="0.25">
      <c r="A7" t="s">
        <v>29</v>
      </c>
      <c r="B7" t="s">
        <v>15</v>
      </c>
      <c r="C7">
        <v>0.33333299999999999</v>
      </c>
      <c r="D7" t="s">
        <v>85</v>
      </c>
    </row>
    <row r="8" spans="1:4" x14ac:dyDescent="0.25">
      <c r="A8" t="s">
        <v>29</v>
      </c>
      <c r="B8" t="s">
        <v>16</v>
      </c>
      <c r="C8">
        <v>0.26666600000000001</v>
      </c>
      <c r="D8" t="s">
        <v>95</v>
      </c>
    </row>
    <row r="9" spans="1:4" x14ac:dyDescent="0.25">
      <c r="A9" t="s">
        <v>29</v>
      </c>
      <c r="B9" t="s">
        <v>17</v>
      </c>
      <c r="C9">
        <v>0.33333299999999999</v>
      </c>
      <c r="D9" t="s">
        <v>104</v>
      </c>
    </row>
    <row r="10" spans="1:4" x14ac:dyDescent="0.25">
      <c r="A10" t="s">
        <v>32</v>
      </c>
      <c r="B10" t="s">
        <v>12</v>
      </c>
      <c r="C10">
        <v>0.33333299999999999</v>
      </c>
      <c r="D10" t="s">
        <v>48</v>
      </c>
    </row>
    <row r="11" spans="1:4" x14ac:dyDescent="0.25">
      <c r="A11" t="s">
        <v>32</v>
      </c>
      <c r="B11" t="s">
        <v>13</v>
      </c>
      <c r="C11">
        <v>0.283333</v>
      </c>
      <c r="D11" t="s">
        <v>49</v>
      </c>
    </row>
    <row r="12" spans="1:4" x14ac:dyDescent="0.25">
      <c r="A12" t="s">
        <v>32</v>
      </c>
      <c r="B12" t="s">
        <v>14</v>
      </c>
      <c r="C12">
        <v>0.283333</v>
      </c>
      <c r="D12" t="s">
        <v>77</v>
      </c>
    </row>
    <row r="13" spans="1:4" x14ac:dyDescent="0.25">
      <c r="A13" t="s">
        <v>32</v>
      </c>
      <c r="B13" t="s">
        <v>15</v>
      </c>
      <c r="C13">
        <v>0.31</v>
      </c>
      <c r="D13" t="s">
        <v>86</v>
      </c>
    </row>
    <row r="14" spans="1:4" x14ac:dyDescent="0.25">
      <c r="A14" t="s">
        <v>32</v>
      </c>
      <c r="B14" t="s">
        <v>16</v>
      </c>
      <c r="C14">
        <v>0.316666</v>
      </c>
      <c r="D14" t="s">
        <v>96</v>
      </c>
    </row>
    <row r="15" spans="1:4" x14ac:dyDescent="0.25">
      <c r="A15" t="s">
        <v>32</v>
      </c>
      <c r="B15" t="s">
        <v>17</v>
      </c>
      <c r="C15">
        <v>0.3</v>
      </c>
      <c r="D15" t="s">
        <v>105</v>
      </c>
    </row>
    <row r="16" spans="1:4" x14ac:dyDescent="0.25">
      <c r="A16" t="s">
        <v>38</v>
      </c>
      <c r="B16" t="s">
        <v>13</v>
      </c>
      <c r="C16">
        <v>0.33333299999999999</v>
      </c>
      <c r="D16" t="s">
        <v>50</v>
      </c>
    </row>
    <row r="17" spans="1:4" x14ac:dyDescent="0.25">
      <c r="A17" t="s">
        <v>38</v>
      </c>
      <c r="B17" t="s">
        <v>14</v>
      </c>
      <c r="C17">
        <v>0.3</v>
      </c>
      <c r="D17" t="s">
        <v>78</v>
      </c>
    </row>
    <row r="18" spans="1:4" x14ac:dyDescent="0.25">
      <c r="A18" t="s">
        <v>38</v>
      </c>
      <c r="B18" t="s">
        <v>15</v>
      </c>
      <c r="C18">
        <v>0.26666600000000001</v>
      </c>
      <c r="D18" t="s">
        <v>87</v>
      </c>
    </row>
    <row r="19" spans="1:4" x14ac:dyDescent="0.25">
      <c r="A19" t="s">
        <v>38</v>
      </c>
      <c r="B19" t="s">
        <v>16</v>
      </c>
      <c r="C19">
        <v>0.25</v>
      </c>
      <c r="D19" t="s">
        <v>97</v>
      </c>
    </row>
    <row r="20" spans="1:4" x14ac:dyDescent="0.25">
      <c r="A20" t="s">
        <v>38</v>
      </c>
      <c r="B20" t="s">
        <v>17</v>
      </c>
      <c r="C20">
        <v>0.23333300000000001</v>
      </c>
      <c r="D20" t="s">
        <v>106</v>
      </c>
    </row>
    <row r="21" spans="1:4" x14ac:dyDescent="0.25">
      <c r="A21" t="s">
        <v>39</v>
      </c>
      <c r="B21" t="s">
        <v>12</v>
      </c>
      <c r="C21">
        <v>0.33333299999999999</v>
      </c>
      <c r="D21" t="s">
        <v>51</v>
      </c>
    </row>
    <row r="22" spans="1:4" x14ac:dyDescent="0.25">
      <c r="A22" t="s">
        <v>39</v>
      </c>
      <c r="B22" t="s">
        <v>13</v>
      </c>
      <c r="C22">
        <v>0.33333299999999999</v>
      </c>
      <c r="D22" t="s">
        <v>52</v>
      </c>
    </row>
    <row r="23" spans="1:4" x14ac:dyDescent="0.25">
      <c r="A23" t="s">
        <v>19</v>
      </c>
      <c r="B23" t="s">
        <v>8</v>
      </c>
      <c r="C23">
        <v>0.33333299999999999</v>
      </c>
      <c r="D23" t="s">
        <v>53</v>
      </c>
    </row>
    <row r="24" spans="1:4" x14ac:dyDescent="0.25">
      <c r="A24" t="s">
        <v>19</v>
      </c>
      <c r="B24" t="s">
        <v>9</v>
      </c>
      <c r="C24">
        <v>0.33333299999999999</v>
      </c>
      <c r="D24" t="s">
        <v>54</v>
      </c>
    </row>
    <row r="25" spans="1:4" x14ac:dyDescent="0.25">
      <c r="A25" t="s">
        <v>19</v>
      </c>
      <c r="B25" t="s">
        <v>10</v>
      </c>
      <c r="C25">
        <v>0.33333299999999999</v>
      </c>
      <c r="D25" t="s">
        <v>55</v>
      </c>
    </row>
    <row r="26" spans="1:4" x14ac:dyDescent="0.25">
      <c r="A26" t="s">
        <v>19</v>
      </c>
      <c r="B26" t="s">
        <v>11</v>
      </c>
      <c r="C26">
        <v>0.33333299999999999</v>
      </c>
      <c r="D26" t="s">
        <v>56</v>
      </c>
    </row>
    <row r="27" spans="1:4" x14ac:dyDescent="0.25">
      <c r="A27" t="s">
        <v>19</v>
      </c>
      <c r="B27" t="s">
        <v>12</v>
      </c>
      <c r="C27">
        <v>0.33333299999999999</v>
      </c>
      <c r="D27" t="s">
        <v>57</v>
      </c>
    </row>
    <row r="28" spans="1:4" x14ac:dyDescent="0.25">
      <c r="A28" t="s">
        <v>19</v>
      </c>
      <c r="B28" t="s">
        <v>13</v>
      </c>
      <c r="C28">
        <v>0.33333299999999999</v>
      </c>
      <c r="D28" t="s">
        <v>58</v>
      </c>
    </row>
    <row r="29" spans="1:4" x14ac:dyDescent="0.25">
      <c r="A29" t="s">
        <v>19</v>
      </c>
      <c r="B29" t="s">
        <v>14</v>
      </c>
      <c r="C29">
        <v>0.26666600000000001</v>
      </c>
      <c r="D29" t="s">
        <v>79</v>
      </c>
    </row>
    <row r="30" spans="1:4" x14ac:dyDescent="0.25">
      <c r="A30" t="s">
        <v>19</v>
      </c>
      <c r="B30" t="s">
        <v>15</v>
      </c>
      <c r="C30">
        <v>0.26666600000000001</v>
      </c>
      <c r="D30" t="s">
        <v>88</v>
      </c>
    </row>
    <row r="31" spans="1:4" x14ac:dyDescent="0.25">
      <c r="A31" t="s">
        <v>19</v>
      </c>
      <c r="B31" t="s">
        <v>16</v>
      </c>
      <c r="C31">
        <v>0.26666600000000001</v>
      </c>
      <c r="D31" t="s">
        <v>98</v>
      </c>
    </row>
    <row r="32" spans="1:4" x14ac:dyDescent="0.25">
      <c r="A32" t="s">
        <v>19</v>
      </c>
      <c r="B32" t="s">
        <v>17</v>
      </c>
      <c r="C32">
        <v>0.23333300000000001</v>
      </c>
      <c r="D32" t="s">
        <v>107</v>
      </c>
    </row>
    <row r="33" spans="1:4" x14ac:dyDescent="0.25">
      <c r="A33" t="s">
        <v>34</v>
      </c>
      <c r="B33" t="s">
        <v>11</v>
      </c>
      <c r="C33">
        <v>0.33333299999999999</v>
      </c>
      <c r="D33" t="s">
        <v>59</v>
      </c>
    </row>
    <row r="34" spans="1:4" x14ac:dyDescent="0.25">
      <c r="A34" t="s">
        <v>34</v>
      </c>
      <c r="B34" t="s">
        <v>12</v>
      </c>
      <c r="C34">
        <v>0.33333299999999999</v>
      </c>
      <c r="D34" t="s">
        <v>60</v>
      </c>
    </row>
    <row r="35" spans="1:4" x14ac:dyDescent="0.25">
      <c r="A35" t="s">
        <v>34</v>
      </c>
      <c r="B35" t="s">
        <v>13</v>
      </c>
      <c r="C35">
        <v>0.33333299999999999</v>
      </c>
      <c r="D35" t="s">
        <v>61</v>
      </c>
    </row>
    <row r="36" spans="1:4" x14ac:dyDescent="0.25">
      <c r="A36" t="s">
        <v>34</v>
      </c>
      <c r="B36" t="s">
        <v>14</v>
      </c>
      <c r="C36">
        <v>0.3</v>
      </c>
      <c r="D36" t="s">
        <v>80</v>
      </c>
    </row>
    <row r="37" spans="1:4" x14ac:dyDescent="0.25">
      <c r="A37" t="s">
        <v>34</v>
      </c>
      <c r="B37" t="s">
        <v>15</v>
      </c>
      <c r="C37">
        <v>0.32</v>
      </c>
      <c r="D37" t="s">
        <v>89</v>
      </c>
    </row>
    <row r="38" spans="1:4" x14ac:dyDescent="0.25">
      <c r="A38" t="s">
        <v>34</v>
      </c>
      <c r="B38" t="s">
        <v>16</v>
      </c>
      <c r="C38">
        <v>0.316666</v>
      </c>
      <c r="D38" t="s">
        <v>99</v>
      </c>
    </row>
    <row r="39" spans="1:4" x14ac:dyDescent="0.25">
      <c r="A39" t="s">
        <v>34</v>
      </c>
      <c r="B39" t="s">
        <v>17</v>
      </c>
      <c r="C39">
        <v>0.33333299999999999</v>
      </c>
      <c r="D39" t="s">
        <v>108</v>
      </c>
    </row>
    <row r="40" spans="1:4" x14ac:dyDescent="0.25">
      <c r="A40" t="s">
        <v>41</v>
      </c>
      <c r="B40" t="s">
        <v>11</v>
      </c>
      <c r="C40">
        <v>0.33333299999999999</v>
      </c>
      <c r="D40" t="s">
        <v>62</v>
      </c>
    </row>
    <row r="41" spans="1:4" x14ac:dyDescent="0.25">
      <c r="A41" t="s">
        <v>41</v>
      </c>
      <c r="B41" t="s">
        <v>12</v>
      </c>
      <c r="C41">
        <v>0.33333299999999999</v>
      </c>
      <c r="D41" t="s">
        <v>63</v>
      </c>
    </row>
    <row r="42" spans="1:4" x14ac:dyDescent="0.25">
      <c r="A42" t="s">
        <v>41</v>
      </c>
      <c r="B42" t="s">
        <v>13</v>
      </c>
      <c r="C42">
        <v>0.33333299999999999</v>
      </c>
      <c r="D42" t="s">
        <v>64</v>
      </c>
    </row>
    <row r="43" spans="1:4" x14ac:dyDescent="0.25">
      <c r="A43" t="s">
        <v>41</v>
      </c>
      <c r="B43" t="s">
        <v>14</v>
      </c>
      <c r="C43">
        <v>0.33333299999999999</v>
      </c>
      <c r="D43" t="s">
        <v>81</v>
      </c>
    </row>
    <row r="44" spans="1:4" x14ac:dyDescent="0.25">
      <c r="A44" t="s">
        <v>41</v>
      </c>
      <c r="B44" t="s">
        <v>15</v>
      </c>
      <c r="C44">
        <v>0.33333299999999999</v>
      </c>
      <c r="D44" t="s">
        <v>90</v>
      </c>
    </row>
    <row r="45" spans="1:4" x14ac:dyDescent="0.25">
      <c r="A45" t="s">
        <v>41</v>
      </c>
      <c r="B45" t="s">
        <v>16</v>
      </c>
      <c r="C45">
        <v>0.33333299999999999</v>
      </c>
      <c r="D45" t="s">
        <v>100</v>
      </c>
    </row>
    <row r="46" spans="1:4" x14ac:dyDescent="0.25">
      <c r="A46" t="s">
        <v>41</v>
      </c>
      <c r="B46" t="s">
        <v>17</v>
      </c>
      <c r="C46">
        <v>0.33333299999999999</v>
      </c>
      <c r="D46" t="s">
        <v>109</v>
      </c>
    </row>
    <row r="47" spans="1:4" x14ac:dyDescent="0.25">
      <c r="A47" t="s">
        <v>20</v>
      </c>
      <c r="B47" t="s">
        <v>7</v>
      </c>
      <c r="C47">
        <v>0.33333299999999999</v>
      </c>
      <c r="D47" t="s">
        <v>65</v>
      </c>
    </row>
    <row r="48" spans="1:4" x14ac:dyDescent="0.25">
      <c r="A48" t="s">
        <v>20</v>
      </c>
      <c r="B48" t="s">
        <v>8</v>
      </c>
      <c r="C48">
        <v>0.33333299999999999</v>
      </c>
      <c r="D48" t="s">
        <v>66</v>
      </c>
    </row>
    <row r="49" spans="1:4" x14ac:dyDescent="0.25">
      <c r="A49" t="s">
        <v>20</v>
      </c>
      <c r="B49" t="s">
        <v>9</v>
      </c>
      <c r="C49">
        <v>0.33333299999999999</v>
      </c>
      <c r="D49" t="s">
        <v>67</v>
      </c>
    </row>
    <row r="50" spans="1:4" x14ac:dyDescent="0.25">
      <c r="A50" t="s">
        <v>20</v>
      </c>
      <c r="B50" t="s">
        <v>10</v>
      </c>
      <c r="C50">
        <v>0.33333299999999999</v>
      </c>
      <c r="D50" t="s">
        <v>68</v>
      </c>
    </row>
    <row r="51" spans="1:4" x14ac:dyDescent="0.25">
      <c r="A51" t="s">
        <v>20</v>
      </c>
      <c r="B51" t="s">
        <v>11</v>
      </c>
      <c r="C51">
        <v>0.33333299999999999</v>
      </c>
      <c r="D51" t="s">
        <v>69</v>
      </c>
    </row>
    <row r="52" spans="1:4" x14ac:dyDescent="0.25">
      <c r="A52" t="s">
        <v>20</v>
      </c>
      <c r="B52" t="s">
        <v>12</v>
      </c>
      <c r="C52">
        <v>0.33333299999999999</v>
      </c>
      <c r="D52" t="s">
        <v>70</v>
      </c>
    </row>
    <row r="53" spans="1:4" x14ac:dyDescent="0.25">
      <c r="A53" t="s">
        <v>20</v>
      </c>
      <c r="B53" t="s">
        <v>13</v>
      </c>
      <c r="C53">
        <v>0.33333299999999999</v>
      </c>
      <c r="D53" t="s">
        <v>71</v>
      </c>
    </row>
    <row r="54" spans="1:4" x14ac:dyDescent="0.25">
      <c r="A54" t="s">
        <v>20</v>
      </c>
      <c r="B54" t="s">
        <v>14</v>
      </c>
      <c r="C54">
        <v>0.25</v>
      </c>
      <c r="D54" t="s">
        <v>82</v>
      </c>
    </row>
    <row r="55" spans="1:4" x14ac:dyDescent="0.25">
      <c r="A55" t="s">
        <v>20</v>
      </c>
      <c r="B55" t="s">
        <v>15</v>
      </c>
      <c r="C55">
        <v>0.26666600000000001</v>
      </c>
      <c r="D55" t="s">
        <v>91</v>
      </c>
    </row>
    <row r="56" spans="1:4" x14ac:dyDescent="0.25">
      <c r="A56" t="s">
        <v>20</v>
      </c>
      <c r="B56" t="s">
        <v>16</v>
      </c>
      <c r="C56">
        <v>0.1</v>
      </c>
      <c r="D56" t="s">
        <v>101</v>
      </c>
    </row>
    <row r="57" spans="1:4" x14ac:dyDescent="0.25">
      <c r="A57" t="s">
        <v>20</v>
      </c>
      <c r="B57" t="s">
        <v>17</v>
      </c>
      <c r="C57">
        <v>0</v>
      </c>
      <c r="D57" t="s">
        <v>110</v>
      </c>
    </row>
    <row r="58" spans="1:4" x14ac:dyDescent="0.25">
      <c r="A58" t="s">
        <v>36</v>
      </c>
      <c r="B58" t="s">
        <v>10</v>
      </c>
      <c r="C58">
        <v>0.33333299999999999</v>
      </c>
      <c r="D58" t="s">
        <v>72</v>
      </c>
    </row>
    <row r="59" spans="1:4" x14ac:dyDescent="0.25">
      <c r="A59" t="s">
        <v>36</v>
      </c>
      <c r="B59" t="s">
        <v>11</v>
      </c>
      <c r="C59">
        <v>0.33333299999999999</v>
      </c>
      <c r="D59" t="s">
        <v>73</v>
      </c>
    </row>
    <row r="60" spans="1:4" x14ac:dyDescent="0.25">
      <c r="A60" t="s">
        <v>36</v>
      </c>
      <c r="B60" t="s">
        <v>12</v>
      </c>
      <c r="C60">
        <v>0.33333299999999999</v>
      </c>
      <c r="D60" t="s">
        <v>74</v>
      </c>
    </row>
    <row r="61" spans="1:4" x14ac:dyDescent="0.25">
      <c r="A61" t="s">
        <v>36</v>
      </c>
      <c r="B61" t="s">
        <v>13</v>
      </c>
      <c r="C61">
        <v>0.33333299999999999</v>
      </c>
      <c r="D61" t="s">
        <v>75</v>
      </c>
    </row>
    <row r="62" spans="1:4" x14ac:dyDescent="0.25">
      <c r="A62" t="s">
        <v>36</v>
      </c>
      <c r="B62" t="s">
        <v>14</v>
      </c>
      <c r="C62">
        <v>0.33333299999999999</v>
      </c>
      <c r="D62" t="s">
        <v>83</v>
      </c>
    </row>
    <row r="63" spans="1:4" x14ac:dyDescent="0.25">
      <c r="A63" t="s">
        <v>36</v>
      </c>
      <c r="B63" t="s">
        <v>15</v>
      </c>
      <c r="C63">
        <v>0.33333299999999999</v>
      </c>
      <c r="D63" t="s">
        <v>92</v>
      </c>
    </row>
    <row r="64" spans="1:4" x14ac:dyDescent="0.25">
      <c r="A64" t="s">
        <v>36</v>
      </c>
      <c r="B64" t="s">
        <v>16</v>
      </c>
      <c r="C64">
        <v>0.33333299999999999</v>
      </c>
      <c r="D64" t="s">
        <v>102</v>
      </c>
    </row>
    <row r="65" spans="1:4" x14ac:dyDescent="0.25">
      <c r="A65" t="s">
        <v>36</v>
      </c>
      <c r="B65" t="s">
        <v>17</v>
      </c>
      <c r="C65">
        <v>0.33333299999999999</v>
      </c>
      <c r="D65" t="s">
        <v>111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0693C7-056A-4E88-8194-9AB983D69013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eff0eb1-075c-4ae5-b77d-0819b1b25be5}" enabled="1" method="Standard" siteId="{a28e9437-6344-4b20-a381-b537222b18c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ATM</vt:lpstr>
      <vt:lpstr>PO</vt:lpstr>
      <vt:lpstr>MBOs</vt:lpstr>
      <vt:lpstr>ATM!Print_Area</vt:lpstr>
      <vt:lpstr>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Moore</dc:creator>
  <cp:lastModifiedBy>Alan Sorensen</cp:lastModifiedBy>
  <cp:lastPrinted>2026-01-26T16:34:52Z</cp:lastPrinted>
  <dcterms:created xsi:type="dcterms:W3CDTF">2015-06-05T18:17:20Z</dcterms:created>
  <dcterms:modified xsi:type="dcterms:W3CDTF">2026-02-10T23:34:22Z</dcterms:modified>
</cp:coreProperties>
</file>