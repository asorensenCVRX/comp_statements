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sorensen\PycharmProjects\comp_statements\Excel Files\"/>
    </mc:Choice>
  </mc:AlternateContent>
  <xr:revisionPtr revIDLastSave="0" documentId="13_ncr:1_{E88CD8A9-8A72-4AA0-82A6-D944800BB79D}" xr6:coauthVersionLast="47" xr6:coauthVersionMax="47" xr10:uidLastSave="{00000000-0000-0000-0000-000000000000}"/>
  <bookViews>
    <workbookView xWindow="51480" yWindow="3555" windowWidth="29040" windowHeight="15720" xr2:uid="{00000000-000D-0000-FFFF-FFFF01000000}"/>
  </bookViews>
  <sheets>
    <sheet name="STATEMENT" sheetId="1" r:id="rId1"/>
    <sheet name="payout" sheetId="2" r:id="rId2"/>
    <sheet name="info" sheetId="3" r:id="rId3"/>
    <sheet name="detail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1" l="1"/>
  <c r="G56" i="1"/>
  <c r="F56" i="1"/>
  <c r="D56" i="1"/>
  <c r="B56" i="1"/>
  <c r="G55" i="1"/>
  <c r="F55" i="1"/>
  <c r="D55" i="1"/>
  <c r="B55" i="1"/>
  <c r="G54" i="1"/>
  <c r="F54" i="1"/>
  <c r="D54" i="1"/>
  <c r="B54" i="1"/>
  <c r="G53" i="1"/>
  <c r="F53" i="1"/>
  <c r="D53" i="1"/>
  <c r="B53" i="1"/>
  <c r="G52" i="1"/>
  <c r="F52" i="1"/>
  <c r="D52" i="1"/>
  <c r="B52" i="1"/>
  <c r="G51" i="1"/>
  <c r="F51" i="1"/>
  <c r="D51" i="1"/>
  <c r="B51" i="1"/>
  <c r="G50" i="1"/>
  <c r="F50" i="1"/>
  <c r="D50" i="1"/>
  <c r="B50" i="1"/>
  <c r="G49" i="1"/>
  <c r="F49" i="1"/>
  <c r="D49" i="1"/>
  <c r="B49" i="1"/>
  <c r="G48" i="1"/>
  <c r="F48" i="1"/>
  <c r="D48" i="1"/>
  <c r="B48" i="1"/>
  <c r="G47" i="1"/>
  <c r="F47" i="1"/>
  <c r="D47" i="1"/>
  <c r="B47" i="1"/>
  <c r="G46" i="1"/>
  <c r="F46" i="1"/>
  <c r="D46" i="1"/>
  <c r="B46" i="1"/>
  <c r="G45" i="1"/>
  <c r="F45" i="1"/>
  <c r="D45" i="1"/>
  <c r="B45" i="1"/>
  <c r="G44" i="1"/>
  <c r="F44" i="1"/>
  <c r="D44" i="1"/>
  <c r="B44" i="1"/>
  <c r="G43" i="1"/>
  <c r="F43" i="1"/>
  <c r="D43" i="1"/>
  <c r="B43" i="1"/>
  <c r="G42" i="1"/>
  <c r="F42" i="1"/>
  <c r="D42" i="1"/>
  <c r="B42" i="1"/>
  <c r="G41" i="1"/>
  <c r="F41" i="1"/>
  <c r="D41" i="1"/>
  <c r="B41" i="1"/>
  <c r="G40" i="1"/>
  <c r="F40" i="1"/>
  <c r="D40" i="1"/>
  <c r="B40" i="1"/>
  <c r="G39" i="1"/>
  <c r="F39" i="1"/>
  <c r="D39" i="1"/>
  <c r="B39" i="1"/>
  <c r="G38" i="1"/>
  <c r="F38" i="1"/>
  <c r="D38" i="1"/>
  <c r="B38" i="1"/>
  <c r="G37" i="1"/>
  <c r="F37" i="1"/>
  <c r="D37" i="1"/>
  <c r="B37" i="1"/>
  <c r="G36" i="1"/>
  <c r="F36" i="1"/>
  <c r="D36" i="1"/>
  <c r="B36" i="1"/>
  <c r="G35" i="1"/>
  <c r="F35" i="1"/>
  <c r="D35" i="1"/>
  <c r="B35" i="1"/>
  <c r="G34" i="1"/>
  <c r="F34" i="1"/>
  <c r="D34" i="1"/>
  <c r="B34" i="1"/>
  <c r="G33" i="1"/>
  <c r="F33" i="1"/>
  <c r="D33" i="1"/>
  <c r="B33" i="1"/>
  <c r="G32" i="1"/>
  <c r="F32" i="1"/>
  <c r="D32" i="1"/>
  <c r="B32" i="1"/>
  <c r="G31" i="1"/>
  <c r="F31" i="1"/>
  <c r="D31" i="1"/>
  <c r="B31" i="1"/>
  <c r="G30" i="1"/>
  <c r="F30" i="1"/>
  <c r="D30" i="1"/>
  <c r="B30" i="1"/>
  <c r="G29" i="1"/>
  <c r="F29" i="1"/>
  <c r="D29" i="1"/>
  <c r="B29" i="1"/>
  <c r="G28" i="1"/>
  <c r="F28" i="1"/>
  <c r="D28" i="1"/>
  <c r="B28" i="1"/>
  <c r="G27" i="1"/>
  <c r="F27" i="1"/>
  <c r="D27" i="1"/>
  <c r="B27" i="1"/>
  <c r="G26" i="1"/>
  <c r="F26" i="1"/>
  <c r="D26" i="1"/>
  <c r="B26" i="1"/>
  <c r="G25" i="1"/>
  <c r="F25" i="1"/>
  <c r="D25" i="1"/>
  <c r="B25" i="1"/>
  <c r="G24" i="1"/>
  <c r="F24" i="1"/>
  <c r="D24" i="1"/>
  <c r="B24" i="1"/>
  <c r="G23" i="1"/>
  <c r="F23" i="1"/>
  <c r="D23" i="1"/>
  <c r="B23" i="1"/>
  <c r="G22" i="1"/>
  <c r="F22" i="1"/>
  <c r="D22" i="1"/>
  <c r="B22" i="1"/>
  <c r="G21" i="1"/>
  <c r="F21" i="1"/>
  <c r="D21" i="1"/>
  <c r="B21" i="1"/>
  <c r="G16" i="1"/>
  <c r="G15" i="1"/>
  <c r="D15" i="1" s="1"/>
  <c r="G14" i="1"/>
  <c r="D14" i="1"/>
  <c r="G13" i="1"/>
  <c r="G11" i="1"/>
  <c r="G12" i="1" s="1"/>
  <c r="C11" i="1"/>
  <c r="C12" i="1" s="1"/>
  <c r="G10" i="1"/>
  <c r="C10" i="1"/>
  <c r="B6" i="1"/>
  <c r="B5" i="1"/>
  <c r="B4" i="1"/>
</calcChain>
</file>

<file path=xl/sharedStrings.xml><?xml version="1.0" encoding="utf-8"?>
<sst xmlns="http://schemas.openxmlformats.org/spreadsheetml/2006/main" count="287" uniqueCount="149">
  <si>
    <t xml:space="preserve">CVRx US Sales Incentive Compensation Statement </t>
  </si>
  <si>
    <t>Sales Performance</t>
  </si>
  <si>
    <t>Final Payment</t>
  </si>
  <si>
    <t>Level 1 Sales</t>
  </si>
  <si>
    <t>Level 1 Payout</t>
  </si>
  <si>
    <t>Level 2 Sales</t>
  </si>
  <si>
    <t>Level 2 Payout</t>
  </si>
  <si>
    <t>Total Sales</t>
  </si>
  <si>
    <t>Subtotal</t>
  </si>
  <si>
    <t>Other Adjustments</t>
  </si>
  <si>
    <t>Guarantee Adjustment</t>
  </si>
  <si>
    <t>Final Payout</t>
  </si>
  <si>
    <t>YTD Payout</t>
  </si>
  <si>
    <t xml:space="preserve">Opportunity Detail </t>
  </si>
  <si>
    <t>Account</t>
  </si>
  <si>
    <t>Opp Name</t>
  </si>
  <si>
    <t>Sales</t>
  </si>
  <si>
    <t>Units</t>
  </si>
  <si>
    <t>* An asterisk denotes that the opp includes a rebate</t>
  </si>
  <si>
    <t>YYYYMM</t>
  </si>
  <si>
    <t>EID</t>
  </si>
  <si>
    <t>YYYYQQ</t>
  </si>
  <si>
    <t>ROLE</t>
  </si>
  <si>
    <t>STATUS</t>
  </si>
  <si>
    <t>VALUE</t>
  </si>
  <si>
    <t>CATEGORY</t>
  </si>
  <si>
    <t>Notes</t>
  </si>
  <si>
    <t>2025_08</t>
  </si>
  <si>
    <t>scroxdale@cvrx.com</t>
  </si>
  <si>
    <t>2025_Q3</t>
  </si>
  <si>
    <t>ASD</t>
  </si>
  <si>
    <t>ACTIVE</t>
  </si>
  <si>
    <t>YTD_PO</t>
  </si>
  <si>
    <t>SALES</t>
  </si>
  <si>
    <t>L1_PO</t>
  </si>
  <si>
    <t>L2_PO</t>
  </si>
  <si>
    <t>L1_REV</t>
  </si>
  <si>
    <t>L2_REV</t>
  </si>
  <si>
    <t>TTL_PO</t>
  </si>
  <si>
    <t>GUARANTEE</t>
  </si>
  <si>
    <t>PO_AMT</t>
  </si>
  <si>
    <t>REVENUE_UNITS</t>
  </si>
  <si>
    <t>IMPLANT_UNITS</t>
  </si>
  <si>
    <t>Name:</t>
  </si>
  <si>
    <t>Sean Croxdale</t>
  </si>
  <si>
    <t>First Name:</t>
  </si>
  <si>
    <t>Sean</t>
  </si>
  <si>
    <t>Last Name:</t>
  </si>
  <si>
    <t>Croxdale</t>
  </si>
  <si>
    <t>Email:</t>
  </si>
  <si>
    <t>Territory:</t>
  </si>
  <si>
    <t>THE SYNDICATE</t>
  </si>
  <si>
    <t>Role:</t>
  </si>
  <si>
    <t>Area Sales Director</t>
  </si>
  <si>
    <t>Month:</t>
  </si>
  <si>
    <t>August</t>
  </si>
  <si>
    <t>REGION_NM</t>
  </si>
  <si>
    <t>REGION_ID</t>
  </si>
  <si>
    <t>SALES_CREDIT_ASD_EMAIL</t>
  </si>
  <si>
    <t>SALES_CREDIT_REP_EMAIL</t>
  </si>
  <si>
    <t>CLOSEDATE</t>
  </si>
  <si>
    <t>CLOSE_YYYYMM</t>
  </si>
  <si>
    <t>CLOSE_YYYYQQ</t>
  </si>
  <si>
    <t>IMPLANTED_DT</t>
  </si>
  <si>
    <t>IMPLANTED_YYYYMM</t>
  </si>
  <si>
    <t>IMPLANTED_YYYYQQ</t>
  </si>
  <si>
    <t>ACCOUNT_INDICATION__C</t>
  </si>
  <si>
    <t>ACT_ID</t>
  </si>
  <si>
    <t>OPP_NAME</t>
  </si>
  <si>
    <t>OPP_ID</t>
  </si>
  <si>
    <t>PHYSICIAN</t>
  </si>
  <si>
    <t>PHYSICIAN_ID</t>
  </si>
  <si>
    <t>INDICATION_FOR_USE__C</t>
  </si>
  <si>
    <t>REASON_FOR_IMPLANT__C</t>
  </si>
  <si>
    <t>ISIMPL</t>
  </si>
  <si>
    <t>SALES_COMMISSIONABLE</t>
  </si>
  <si>
    <t>REBATE?</t>
  </si>
  <si>
    <t>ASP</t>
  </si>
  <si>
    <t>THRESHOLD</t>
  </si>
  <si>
    <t>PLAN</t>
  </si>
  <si>
    <t>L1 Rate</t>
  </si>
  <si>
    <t>L2 Rate</t>
  </si>
  <si>
    <t>QTD_SALES_COMMISSIONABLE</t>
  </si>
  <si>
    <t>QTD_IMPLANT_UNITS</t>
  </si>
  <si>
    <t>QTD_REVENUE_UNITS</t>
  </si>
  <si>
    <t>RE_03</t>
  </si>
  <si>
    <t>bkelly@cvrx.com</t>
  </si>
  <si>
    <t>Hca Houston Healthcare Clear Lake</t>
  </si>
  <si>
    <t>0014u00001s9Ep8AAE</t>
  </si>
  <si>
    <t>CRX255 026583</t>
  </si>
  <si>
    <t>006UY00000NwqnPYAR</t>
  </si>
  <si>
    <t>Gerard Abreo</t>
  </si>
  <si>
    <t>0034u00002ZgaxXAAR</t>
  </si>
  <si>
    <t>Heart Failure - Reduced Ejection Fraction</t>
  </si>
  <si>
    <t>De novo</t>
  </si>
  <si>
    <t>ahilovsky@cvrx.com</t>
  </si>
  <si>
    <t>Methodist Hospital</t>
  </si>
  <si>
    <t>0014u00001pyU5wAAE</t>
  </si>
  <si>
    <t>METHSA01 026088</t>
  </si>
  <si>
    <t>006UY00000Mtf97YAB</t>
  </si>
  <si>
    <t>Michael Kwan</t>
  </si>
  <si>
    <t>0034u00002XvqFJAAZ</t>
  </si>
  <si>
    <t>2025_06</t>
  </si>
  <si>
    <t>2025_Q2</t>
  </si>
  <si>
    <t>University Health System</t>
  </si>
  <si>
    <t>0010g00001kNUiMAAW</t>
  </si>
  <si>
    <t>UTSA 024747</t>
  </si>
  <si>
    <t>006UY00000KP26MYAT</t>
  </si>
  <si>
    <t>Zalmen Blanck</t>
  </si>
  <si>
    <t>0034u00002ZgaoxAAB</t>
  </si>
  <si>
    <t>jgonzalez@cvrx.com</t>
  </si>
  <si>
    <t>Memorial Hermann Southwest Hospital</t>
  </si>
  <si>
    <t>0014u00001u6xJGAAY</t>
  </si>
  <si>
    <t>HOU545 025599</t>
  </si>
  <si>
    <t>006UY00000M00Y1YAJ</t>
  </si>
  <si>
    <t>Paul Dao</t>
  </si>
  <si>
    <t>003UY00000f0qYUYAY</t>
  </si>
  <si>
    <t>Hca Houston Hc Kingwood</t>
  </si>
  <si>
    <t>0014u00001pyZnXAAU</t>
  </si>
  <si>
    <t>CVR419 026157</t>
  </si>
  <si>
    <t>006UY00000N0tk1YAB</t>
  </si>
  <si>
    <t>Harsh Patel</t>
  </si>
  <si>
    <t>003UY00000JFGZNYA5</t>
  </si>
  <si>
    <t>sherron@cvrx.com</t>
  </si>
  <si>
    <t>Heart Hospital Of Austin</t>
  </si>
  <si>
    <t>0014u00001wpsvFAAQ</t>
  </si>
  <si>
    <t>HHA01 026433</t>
  </si>
  <si>
    <t>006UY00000Ncxt3YAB</t>
  </si>
  <si>
    <t>Kunjan Bhatt</t>
  </si>
  <si>
    <t>0034u00002ZgAwsAAF</t>
  </si>
  <si>
    <t>Memorial Hermann Memorial City Medical Center</t>
  </si>
  <si>
    <t>0010g00001mL5fJAAS</t>
  </si>
  <si>
    <t>MHMC 025786</t>
  </si>
  <si>
    <t>006UY00000MFnADYA1</t>
  </si>
  <si>
    <t>Phil Berman</t>
  </si>
  <si>
    <t>0034u00002gq2KpAAI</t>
  </si>
  <si>
    <t>cfoglia@cvrx.com</t>
  </si>
  <si>
    <t>Chritus Health Mother Frances Tyler</t>
  </si>
  <si>
    <t>001UY00000F6OlNYAV</t>
  </si>
  <si>
    <t>CHMFT 026938</t>
  </si>
  <si>
    <t>006UY00000OhBbtYAF</t>
  </si>
  <si>
    <t>Hector Ceccoli</t>
  </si>
  <si>
    <t>0034u00002r0KQnAAM</t>
  </si>
  <si>
    <t>Methodist Hospital-Houston Methodist</t>
  </si>
  <si>
    <t>0017000001Lsj1MAAR</t>
  </si>
  <si>
    <t>IAH01 025261</t>
  </si>
  <si>
    <t>006UY00000LJdeHYAT</t>
  </si>
  <si>
    <t>Rayan Yousefzai</t>
  </si>
  <si>
    <t>0034u00002ZgAq3AAF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</si>
</sst>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&quot;$&quot;#,##0.00"/>
    <numFmt numFmtId="165" formatCode="&quot;$&quot;#,##0"/>
    <numFmt numFmtId="166" formatCode="yyyy\-mm\-dd\ hh:mm:ss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00E3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indexed="64"/>
      </patternFill>
    </fill>
  </fills>
  <borders count="26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double">
        <color indexed="64"/>
      </bottom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hair">
        <color indexed="64"/>
      </right>
      <top style="double">
        <color indexed="64"/>
      </top>
      <bottom style="double">
        <color indexed="64"/>
      </bottom>
      <diagonal/>
    </border>
    <border>
      <left style="hair">
        <color indexed="64"/>
      </left>
      <right style="medium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double">
        <color indexed="64"/>
      </bottom>
      <diagonal/>
    </border>
    <border>
      <left/>
      <right style="hair">
        <color indexed="64"/>
      </right>
      <top style="double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double">
        <color indexed="64"/>
      </bottom>
      <diagonal/>
    </border>
    <border>
      <left style="medium">
        <color indexed="64"/>
      </left>
      <right style="hair">
        <color indexed="64"/>
      </right>
      <top style="double">
        <color indexed="64"/>
      </top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4" fontId="1" fillId="0" borderId="0"/>
    <xf numFmtId="9" fontId="1" fillId="0" borderId="0"/>
  </cellStyleXfs>
  <cellXfs count="45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vertical="center"/>
    </xf>
    <xf numFmtId="0" fontId="3" fillId="0" borderId="3" xfId="0" applyFont="1" applyBorder="1"/>
    <xf numFmtId="164" fontId="2" fillId="0" borderId="4" xfId="0" applyNumberFormat="1" applyFont="1" applyBorder="1" applyAlignment="1">
      <alignment horizontal="center"/>
    </xf>
    <xf numFmtId="0" fontId="5" fillId="0" borderId="0" xfId="0" applyFont="1"/>
    <xf numFmtId="164" fontId="2" fillId="0" borderId="4" xfId="1" applyNumberFormat="1" applyFont="1" applyBorder="1" applyAlignment="1">
      <alignment horizontal="center"/>
    </xf>
    <xf numFmtId="164" fontId="3" fillId="3" borderId="10" xfId="0" applyNumberFormat="1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65" fontId="2" fillId="0" borderId="5" xfId="1" applyNumberFormat="1" applyFont="1" applyBorder="1" applyAlignment="1">
      <alignment horizontal="center"/>
    </xf>
    <xf numFmtId="0" fontId="3" fillId="0" borderId="15" xfId="0" applyFont="1" applyBorder="1"/>
    <xf numFmtId="164" fontId="2" fillId="0" borderId="16" xfId="0" applyNumberFormat="1" applyFont="1" applyBorder="1" applyAlignment="1">
      <alignment horizontal="center"/>
    </xf>
    <xf numFmtId="0" fontId="4" fillId="4" borderId="20" xfId="0" applyFont="1" applyFill="1" applyBorder="1" applyAlignment="1">
      <alignment horizontal="center"/>
    </xf>
    <xf numFmtId="166" fontId="0" fillId="0" borderId="0" xfId="0" applyNumberFormat="1"/>
    <xf numFmtId="164" fontId="2" fillId="0" borderId="0" xfId="0" applyNumberFormat="1" applyFont="1" applyAlignment="1">
      <alignment horizontal="center"/>
    </xf>
    <xf numFmtId="164" fontId="2" fillId="0" borderId="23" xfId="0" applyNumberFormat="1" applyFont="1" applyBorder="1" applyAlignment="1">
      <alignment horizontal="center"/>
    </xf>
    <xf numFmtId="0" fontId="3" fillId="0" borderId="21" xfId="0" applyFont="1" applyBorder="1" applyAlignment="1">
      <alignment horizontal="left"/>
    </xf>
    <xf numFmtId="0" fontId="0" fillId="0" borderId="7" xfId="0" applyBorder="1"/>
    <xf numFmtId="0" fontId="3" fillId="0" borderId="15" xfId="0" applyFont="1" applyBorder="1" applyAlignment="1">
      <alignment horizontal="left"/>
    </xf>
    <xf numFmtId="0" fontId="0" fillId="0" borderId="14" xfId="0" applyBorder="1"/>
    <xf numFmtId="165" fontId="6" fillId="0" borderId="9" xfId="0" applyNumberFormat="1" applyFont="1" applyBorder="1" applyAlignment="1">
      <alignment horizontal="center"/>
    </xf>
    <xf numFmtId="165" fontId="2" fillId="0" borderId="4" xfId="2" applyNumberFormat="1" applyFont="1" applyBorder="1" applyAlignment="1">
      <alignment horizontal="center"/>
    </xf>
    <xf numFmtId="165" fontId="2" fillId="0" borderId="23" xfId="0" applyNumberFormat="1" applyFont="1" applyBorder="1" applyAlignment="1">
      <alignment horizontal="center"/>
    </xf>
    <xf numFmtId="165" fontId="2" fillId="0" borderId="10" xfId="0" applyNumberFormat="1" applyFont="1" applyBorder="1" applyAlignment="1">
      <alignment horizontal="center"/>
    </xf>
    <xf numFmtId="0" fontId="7" fillId="0" borderId="25" xfId="0" applyFont="1" applyBorder="1" applyAlignment="1">
      <alignment horizontal="center" vertical="top"/>
    </xf>
    <xf numFmtId="0" fontId="4" fillId="4" borderId="18" xfId="0" applyFont="1" applyFill="1" applyBorder="1" applyAlignment="1">
      <alignment horizontal="center"/>
    </xf>
    <xf numFmtId="0" fontId="0" fillId="0" borderId="18" xfId="0" applyBorder="1"/>
    <xf numFmtId="0" fontId="2" fillId="0" borderId="5" xfId="0" applyFont="1" applyBorder="1" applyAlignment="1">
      <alignment horizontal="left"/>
    </xf>
    <xf numFmtId="0" fontId="0" fillId="0" borderId="6" xfId="0" applyBorder="1"/>
    <xf numFmtId="0" fontId="2" fillId="0" borderId="5" xfId="0" applyFont="1" applyBorder="1" applyAlignment="1">
      <alignment horizontal="center"/>
    </xf>
    <xf numFmtId="0" fontId="3" fillId="0" borderId="15" xfId="0" applyFont="1" applyBorder="1" applyAlignment="1">
      <alignment horizontal="left"/>
    </xf>
    <xf numFmtId="0" fontId="0" fillId="0" borderId="14" xfId="0" applyBorder="1"/>
    <xf numFmtId="0" fontId="6" fillId="0" borderId="8" xfId="0" applyFont="1" applyBorder="1"/>
    <xf numFmtId="0" fontId="0" fillId="0" borderId="13" xfId="0" applyBorder="1"/>
    <xf numFmtId="0" fontId="4" fillId="2" borderId="12" xfId="0" applyFont="1" applyFill="1" applyBorder="1" applyAlignment="1">
      <alignment horizontal="center" vertical="center"/>
    </xf>
    <xf numFmtId="0" fontId="0" fillId="0" borderId="2" xfId="0" applyBorder="1"/>
    <xf numFmtId="0" fontId="0" fillId="0" borderId="1" xfId="0" applyBorder="1"/>
    <xf numFmtId="0" fontId="3" fillId="0" borderId="24" xfId="0" applyFont="1" applyBorder="1" applyAlignment="1">
      <alignment horizontal="left" wrapText="1"/>
    </xf>
    <xf numFmtId="0" fontId="0" fillId="0" borderId="22" xfId="0" applyBorder="1"/>
    <xf numFmtId="0" fontId="4" fillId="4" borderId="19" xfId="0" applyFont="1" applyFill="1" applyBorder="1" applyAlignment="1">
      <alignment horizontal="center"/>
    </xf>
    <xf numFmtId="0" fontId="0" fillId="0" borderId="17" xfId="0" applyBorder="1"/>
    <xf numFmtId="0" fontId="4" fillId="2" borderId="5" xfId="0" applyFont="1" applyFill="1" applyBorder="1" applyAlignment="1">
      <alignment horizontal="center" vertical="center"/>
    </xf>
    <xf numFmtId="0" fontId="0" fillId="0" borderId="11" xfId="0" applyBorder="1"/>
    <xf numFmtId="0" fontId="3" fillId="0" borderId="3" xfId="0" applyFont="1" applyBorder="1"/>
  </cellXfs>
  <cellStyles count="3">
    <cellStyle name="Currency" xfId="1" builtinId="4"/>
    <cellStyle name="Normal" xfId="0" builtinId="0"/>
    <cellStyle name="Percent" xfId="2" builtinId="5"/>
  </cellStyles>
  <dxfs count="1"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1104900</xdr:colOff>
      <xdr:row>1</xdr:row>
      <xdr:rowOff>104775</xdr:rowOff>
    </xdr:from>
    <xdr:to>
      <xdr:col>6</xdr:col>
      <xdr:colOff>854298</xdr:colOff>
      <xdr:row>3</xdr:row>
      <xdr:rowOff>174763</xdr:rowOff>
    </xdr:to>
    <xdr:pic>
      <xdr:nvPicPr>
        <xdr:cNvPr id="3" name="Picture 2" descr="A picture containing text, sign, dark&#10;&#10;Description automatically generated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24425" y="304800"/>
          <a:ext cx="938118" cy="327163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57"/>
  <sheetViews>
    <sheetView tabSelected="1" workbookViewId="0">
      <selection activeCell="C6" sqref="C6"/>
    </sheetView>
  </sheetViews>
  <sheetFormatPr defaultRowHeight="15.75" x14ac:dyDescent="0.25"/>
  <cols>
    <col min="1" max="1" width="0.7109375" style="1" customWidth="1"/>
    <col min="2" max="2" width="19.5703125" style="1" customWidth="1"/>
    <col min="3" max="3" width="13.7109375" style="1" customWidth="1"/>
    <col min="4" max="4" width="11.85546875" style="1" customWidth="1"/>
    <col min="5" max="5" width="8.42578125" style="1" bestFit="1" customWidth="1"/>
    <col min="6" max="6" width="17.85546875" style="1" customWidth="1"/>
    <col min="7" max="7" width="14.7109375" style="1" customWidth="1"/>
  </cols>
  <sheetData>
    <row r="1" spans="1:7" ht="4.1500000000000004" customHeight="1" x14ac:dyDescent="0.25"/>
    <row r="2" spans="1:7" x14ac:dyDescent="0.25">
      <c r="B2" s="2" t="s">
        <v>0</v>
      </c>
    </row>
    <row r="3" spans="1:7" ht="4.1500000000000004" customHeight="1" x14ac:dyDescent="0.25"/>
    <row r="4" spans="1:7" x14ac:dyDescent="0.25">
      <c r="B4" s="2" t="str">
        <f>info!B2 &amp; " " &amp; info!B3</f>
        <v>Sean Croxdale</v>
      </c>
    </row>
    <row r="5" spans="1:7" x14ac:dyDescent="0.25">
      <c r="B5" s="2" t="str">
        <f>info!B6</f>
        <v>Area Sales Director</v>
      </c>
    </row>
    <row r="6" spans="1:7" x14ac:dyDescent="0.25">
      <c r="B6" s="2" t="str">
        <f>info!B7 &amp; " 2025"</f>
        <v>August 2025</v>
      </c>
      <c r="C6" s="6" t="str">
        <f>_xlfn.CONCAT(TEXT(B6, "YYYY"), "_", TEXT(B6, "MM"))</f>
        <v>2025_08</v>
      </c>
    </row>
    <row r="7" spans="1:7" ht="4.1500000000000004" customHeight="1" x14ac:dyDescent="0.25"/>
    <row r="8" spans="1:7" ht="4.1500000000000004" customHeight="1" thickBot="1" x14ac:dyDescent="0.3"/>
    <row r="9" spans="1:7" x14ac:dyDescent="0.25">
      <c r="B9" s="35" t="s">
        <v>1</v>
      </c>
      <c r="C9" s="37"/>
      <c r="D9" s="3"/>
      <c r="E9" s="35" t="s">
        <v>2</v>
      </c>
      <c r="F9" s="36"/>
      <c r="G9" s="37"/>
    </row>
    <row r="10" spans="1:7" x14ac:dyDescent="0.25">
      <c r="B10" s="4" t="s">
        <v>3</v>
      </c>
      <c r="C10" s="22">
        <f>_xlfn.XLOOKUP("L1_REV", payout!$G:$G, payout!$F:$F)</f>
        <v>289704.55</v>
      </c>
      <c r="E10" s="44" t="s">
        <v>4</v>
      </c>
      <c r="F10" s="29"/>
      <c r="G10" s="7">
        <f>_xlfn.XLOOKUP("L1_PO", payout!G:G,payout!F:F)</f>
        <v>6054.83</v>
      </c>
    </row>
    <row r="11" spans="1:7" ht="16.5" customHeight="1" thickBot="1" x14ac:dyDescent="0.3">
      <c r="A11" s="6"/>
      <c r="B11" s="4" t="s">
        <v>5</v>
      </c>
      <c r="C11" s="23">
        <f>_xlfn.XLOOKUP("L2_REV", payout!$G:$G, payout!$F:$F)</f>
        <v>0</v>
      </c>
      <c r="E11" s="44" t="s">
        <v>6</v>
      </c>
      <c r="F11" s="29"/>
      <c r="G11" s="7">
        <f>_xlfn.XLOOKUP("L2_PO",payout!G:G,payout!F:F)</f>
        <v>0</v>
      </c>
    </row>
    <row r="12" spans="1:7" ht="16.5" customHeight="1" thickTop="1" thickBot="1" x14ac:dyDescent="0.3">
      <c r="A12" s="6"/>
      <c r="B12" s="11" t="s">
        <v>7</v>
      </c>
      <c r="C12" s="24">
        <f>SUM(C9:C11)</f>
        <v>289704.55</v>
      </c>
      <c r="E12" s="31" t="s">
        <v>8</v>
      </c>
      <c r="F12" s="32"/>
      <c r="G12" s="12">
        <f>SUM(G9:G11)</f>
        <v>6054.83</v>
      </c>
    </row>
    <row r="13" spans="1:7" ht="17.25" customHeight="1" thickTop="1" x14ac:dyDescent="0.25">
      <c r="B13" s="2"/>
      <c r="C13" s="15"/>
      <c r="E13" s="38" t="s">
        <v>9</v>
      </c>
      <c r="F13" s="39"/>
      <c r="G13" s="5">
        <f>IFERROR(_xlfn.XLOOKUP("ADJUSTMENTS", payout!G:G,payout!F:F), 0) + IFERROR(_xlfn.XLOOKUP("SPIFF_PO", payout!G:G,payout!F:F), 0)</f>
        <v>0</v>
      </c>
    </row>
    <row r="14" spans="1:7" ht="15.75" customHeight="1" thickBot="1" x14ac:dyDescent="0.3">
      <c r="D14" s="6">
        <f>IF(G14&gt;0, 1, 0)</f>
        <v>1</v>
      </c>
      <c r="E14" s="17" t="s">
        <v>10</v>
      </c>
      <c r="F14" s="18"/>
      <c r="G14" s="16">
        <f>IFERROR(_xlfn.XLOOKUP("GUARANTEE",payout!G:G,payout!F:F), 0)</f>
        <v>18750</v>
      </c>
    </row>
    <row r="15" spans="1:7" ht="16.5" customHeight="1" thickTop="1" thickBot="1" x14ac:dyDescent="0.3">
      <c r="D15" s="6">
        <f>IF(G15&gt;0, 1, 0)</f>
        <v>1</v>
      </c>
      <c r="E15" s="19" t="s">
        <v>11</v>
      </c>
      <c r="F15" s="20"/>
      <c r="G15" s="8">
        <f>_xlfn.XLOOKUP("PO_AMT", payout!G:G,payout!F:F)</f>
        <v>18750</v>
      </c>
    </row>
    <row r="16" spans="1:7" ht="17.25" customHeight="1" thickTop="1" thickBot="1" x14ac:dyDescent="0.3">
      <c r="E16" s="33" t="s">
        <v>12</v>
      </c>
      <c r="F16" s="34"/>
      <c r="G16" s="21">
        <f>_xlfn.XLOOKUP("YTD_PO", payout!G:G,payout!F:F)</f>
        <v>172500</v>
      </c>
    </row>
    <row r="17" spans="2:7" ht="17.25" customHeight="1" x14ac:dyDescent="0.25"/>
    <row r="19" spans="2:7" x14ac:dyDescent="0.25">
      <c r="B19" s="42" t="s">
        <v>13</v>
      </c>
      <c r="C19" s="43"/>
      <c r="D19" s="43"/>
      <c r="E19" s="43"/>
      <c r="F19" s="43"/>
      <c r="G19" s="29"/>
    </row>
    <row r="20" spans="2:7" x14ac:dyDescent="0.25">
      <c r="B20" s="40" t="s">
        <v>14</v>
      </c>
      <c r="C20" s="41"/>
      <c r="D20" s="26" t="s">
        <v>15</v>
      </c>
      <c r="E20" s="27"/>
      <c r="F20" s="13" t="s">
        <v>16</v>
      </c>
      <c r="G20" s="13" t="s">
        <v>17</v>
      </c>
    </row>
    <row r="21" spans="2:7" x14ac:dyDescent="0.25">
      <c r="B21" s="28" t="str">
        <f>IF(LEN(detail!K2)&lt;1,"",detail!K2)</f>
        <v>Hca Houston Healthcare Clear Lake</v>
      </c>
      <c r="C21" s="29"/>
      <c r="D21" s="30" t="str">
        <f>IF(LEN(detail!M2)&lt;1,"",detail!M2)</f>
        <v>CRX255 026583</v>
      </c>
      <c r="E21" s="29"/>
      <c r="F21" s="10" t="str">
        <f>DOLLAR(IF(LEN(detail!W2)&lt;1,"",detail!W2), 0) &amp; IF(detail!X2 = 1, "*", "")</f>
        <v>$28,676*</v>
      </c>
      <c r="G21" s="9">
        <f>IF(LEN(detail!U2)&lt;1,"",detail!U2)</f>
        <v>1</v>
      </c>
    </row>
    <row r="22" spans="2:7" x14ac:dyDescent="0.25">
      <c r="B22" s="28" t="str">
        <f>IF(LEN(detail!K3)&lt;1,"",detail!K3)</f>
        <v>Methodist Hospital</v>
      </c>
      <c r="C22" s="29"/>
      <c r="D22" s="30" t="str">
        <f>IF(LEN(detail!M3)&lt;1,"",detail!M3)</f>
        <v>METHSA01 026088</v>
      </c>
      <c r="E22" s="29"/>
      <c r="F22" s="10" t="str">
        <f>DOLLAR(IF(LEN(detail!W3)&lt;1,"",detail!W3), 0) &amp; IF(detail!X3 = 1, "*", "")</f>
        <v>$28,676</v>
      </c>
      <c r="G22" s="9">
        <f>IF(LEN(detail!U3)&lt;1,"",detail!U3)</f>
        <v>0</v>
      </c>
    </row>
    <row r="23" spans="2:7" x14ac:dyDescent="0.25">
      <c r="B23" s="28" t="str">
        <f>IF(LEN(detail!K4)&lt;1,"",detail!K4)</f>
        <v>University Health System</v>
      </c>
      <c r="C23" s="29"/>
      <c r="D23" s="30" t="str">
        <f>IF(LEN(detail!M4)&lt;1,"",detail!M4)</f>
        <v>UTSA 024747</v>
      </c>
      <c r="E23" s="29"/>
      <c r="F23" s="10" t="str">
        <f>DOLLAR(IF(LEN(detail!W4)&lt;1,"",detail!W4), 0) &amp; IF(detail!X4 = 1, "*", "")</f>
        <v>$35,000</v>
      </c>
      <c r="G23" s="9">
        <f>IF(LEN(detail!U4)&lt;1,"",detail!U4)</f>
        <v>1</v>
      </c>
    </row>
    <row r="24" spans="2:7" x14ac:dyDescent="0.25">
      <c r="B24" s="28" t="str">
        <f>IF(LEN(detail!K5)&lt;1,"",detail!K5)</f>
        <v>Memorial Hermann Southwest Hospital</v>
      </c>
      <c r="C24" s="29"/>
      <c r="D24" s="30" t="str">
        <f>IF(LEN(detail!M5)&lt;1,"",detail!M5)</f>
        <v>HOU545 025599</v>
      </c>
      <c r="E24" s="29"/>
      <c r="F24" s="10" t="str">
        <f>DOLLAR(IF(LEN(detail!W5)&lt;1,"",detail!W5), 0) &amp; IF(detail!X5 = 1, "*", "")</f>
        <v>$35,000</v>
      </c>
      <c r="G24" s="9">
        <f>IF(LEN(detail!U5)&lt;1,"",detail!U5)</f>
        <v>1</v>
      </c>
    </row>
    <row r="25" spans="2:7" x14ac:dyDescent="0.25">
      <c r="B25" s="28" t="str">
        <f>IF(LEN(detail!K6)&lt;1,"",detail!K6)</f>
        <v>Hca Houston Hc Kingwood</v>
      </c>
      <c r="C25" s="29"/>
      <c r="D25" s="30" t="str">
        <f>IF(LEN(detail!M6)&lt;1,"",detail!M6)</f>
        <v>CVR419 026157</v>
      </c>
      <c r="E25" s="29"/>
      <c r="F25" s="10" t="str">
        <f>DOLLAR(IF(LEN(detail!W6)&lt;1,"",detail!W6), 0) &amp; IF(detail!X6 = 1, "*", "")</f>
        <v>$28,676*</v>
      </c>
      <c r="G25" s="9">
        <f>IF(LEN(detail!U6)&lt;1,"",detail!U6)</f>
        <v>1</v>
      </c>
    </row>
    <row r="26" spans="2:7" x14ac:dyDescent="0.25">
      <c r="B26" s="28" t="str">
        <f>IF(LEN(detail!K7)&lt;1,"",detail!K7)</f>
        <v>Heart Hospital Of Austin</v>
      </c>
      <c r="C26" s="29"/>
      <c r="D26" s="30" t="str">
        <f>IF(LEN(detail!M7)&lt;1,"",detail!M7)</f>
        <v>HHA01 026433</v>
      </c>
      <c r="E26" s="29"/>
      <c r="F26" s="10" t="str">
        <f>DOLLAR(IF(LEN(detail!W7)&lt;1,"",detail!W7), 0) &amp; IF(detail!X7 = 1, "*", "")</f>
        <v>$28,676*</v>
      </c>
      <c r="G26" s="9">
        <f>IF(LEN(detail!U7)&lt;1,"",detail!U7)</f>
        <v>1</v>
      </c>
    </row>
    <row r="27" spans="2:7" x14ac:dyDescent="0.25">
      <c r="B27" s="28" t="str">
        <f>IF(LEN(detail!K8)&lt;1,"",detail!K8)</f>
        <v>Memorial Hermann Memorial City Medical Center</v>
      </c>
      <c r="C27" s="29"/>
      <c r="D27" s="30" t="str">
        <f>IF(LEN(detail!M8)&lt;1,"",detail!M8)</f>
        <v>MHMC 025786</v>
      </c>
      <c r="E27" s="29"/>
      <c r="F27" s="10" t="str">
        <f>DOLLAR(IF(LEN(detail!W8)&lt;1,"",detail!W8), 0) &amp; IF(detail!X8 = 1, "*", "")</f>
        <v>$35,000</v>
      </c>
      <c r="G27" s="9">
        <f>IF(LEN(detail!U8)&lt;1,"",detail!U8)</f>
        <v>1</v>
      </c>
    </row>
    <row r="28" spans="2:7" x14ac:dyDescent="0.25">
      <c r="B28" s="28" t="str">
        <f>IF(LEN(detail!K9)&lt;1,"",detail!K9)</f>
        <v>Chritus Health Mother Frances Tyler</v>
      </c>
      <c r="C28" s="29"/>
      <c r="D28" s="30" t="str">
        <f>IF(LEN(detail!M9)&lt;1,"",detail!M9)</f>
        <v>CHMFT 026938</v>
      </c>
      <c r="E28" s="29"/>
      <c r="F28" s="10" t="str">
        <f>DOLLAR(IF(LEN(detail!W9)&lt;1,"",detail!W9), 0) &amp; IF(detail!X9 = 1, "*", "")</f>
        <v>$35,000</v>
      </c>
      <c r="G28" s="9">
        <f>IF(LEN(detail!U9)&lt;1,"",detail!U9)</f>
        <v>1</v>
      </c>
    </row>
    <row r="29" spans="2:7" x14ac:dyDescent="0.25">
      <c r="B29" s="28" t="str">
        <f>IF(LEN(detail!K10)&lt;1,"",detail!K10)</f>
        <v>Methodist Hospital-Houston Methodist</v>
      </c>
      <c r="C29" s="29"/>
      <c r="D29" s="30" t="str">
        <f>IF(LEN(detail!M10)&lt;1,"",detail!M10)</f>
        <v>IAH01 025261</v>
      </c>
      <c r="E29" s="29"/>
      <c r="F29" s="10" t="str">
        <f>DOLLAR(IF(LEN(detail!W10)&lt;1,"",detail!W10), 0) &amp; IF(detail!X10 = 1, "*", "")</f>
        <v>$35,000</v>
      </c>
      <c r="G29" s="9">
        <f>IF(LEN(detail!U10)&lt;1,"",detail!U10)</f>
        <v>1</v>
      </c>
    </row>
    <row r="30" spans="2:7" x14ac:dyDescent="0.25">
      <c r="B30" s="28" t="str">
        <f>IF(LEN(detail!K11)&lt;1,"",detail!K11)</f>
        <v/>
      </c>
      <c r="C30" s="29"/>
      <c r="D30" s="30" t="str">
        <f>IF(LEN(detail!M11)&lt;1,"",detail!M11)</f>
        <v/>
      </c>
      <c r="E30" s="29"/>
      <c r="F30" s="10" t="e">
        <f>DOLLAR(IF(LEN(detail!W11)&lt;1,"",detail!W11), 0) &amp; IF(detail!X11 = 1, "*", "")</f>
        <v>#VALUE!</v>
      </c>
      <c r="G30" s="9" t="str">
        <f>IF(LEN(detail!U11)&lt;1,"",detail!U11)</f>
        <v/>
      </c>
    </row>
    <row r="31" spans="2:7" x14ac:dyDescent="0.25">
      <c r="B31" s="28" t="str">
        <f>IF(LEN(detail!K12)&lt;1,"",detail!K12)</f>
        <v/>
      </c>
      <c r="C31" s="29"/>
      <c r="D31" s="30" t="str">
        <f>IF(LEN(detail!M12)&lt;1,"",detail!M12)</f>
        <v/>
      </c>
      <c r="E31" s="29"/>
      <c r="F31" s="10" t="e">
        <f>DOLLAR(IF(LEN(detail!W12)&lt;1,"",detail!W12), 0) &amp; IF(detail!X12 = 1, "*", "")</f>
        <v>#VALUE!</v>
      </c>
      <c r="G31" s="9" t="str">
        <f>IF(LEN(detail!U12)&lt;1,"",detail!U12)</f>
        <v/>
      </c>
    </row>
    <row r="32" spans="2:7" x14ac:dyDescent="0.25">
      <c r="B32" s="28" t="str">
        <f>IF(LEN(detail!K13)&lt;1,"",detail!K13)</f>
        <v/>
      </c>
      <c r="C32" s="29"/>
      <c r="D32" s="30" t="str">
        <f>IF(LEN(detail!M13)&lt;1,"",detail!M13)</f>
        <v/>
      </c>
      <c r="E32" s="29"/>
      <c r="F32" s="10" t="e">
        <f>DOLLAR(IF(LEN(detail!W13)&lt;1,"",detail!W13), 0) &amp; IF(detail!X13 = 1, "*", "")</f>
        <v>#VALUE!</v>
      </c>
      <c r="G32" s="9" t="str">
        <f>IF(LEN(detail!U13)&lt;1,"",detail!U13)</f>
        <v/>
      </c>
    </row>
    <row r="33" spans="2:7" x14ac:dyDescent="0.25">
      <c r="B33" s="28" t="str">
        <f>IF(LEN(detail!K14)&lt;1,"",detail!K14)</f>
        <v/>
      </c>
      <c r="C33" s="29"/>
      <c r="D33" s="30" t="str">
        <f>IF(LEN(detail!M14)&lt;1,"",detail!M14)</f>
        <v/>
      </c>
      <c r="E33" s="29"/>
      <c r="F33" s="10" t="e">
        <f>DOLLAR(IF(LEN(detail!W14)&lt;1,"",detail!W14), 0) &amp; IF(detail!X14 = 1, "*", "")</f>
        <v>#VALUE!</v>
      </c>
      <c r="G33" s="9" t="str">
        <f>IF(LEN(detail!U14)&lt;1,"",detail!U14)</f>
        <v/>
      </c>
    </row>
    <row r="34" spans="2:7" x14ac:dyDescent="0.25">
      <c r="B34" s="28" t="str">
        <f>IF(LEN(detail!K15)&lt;1,"",detail!K15)</f>
        <v/>
      </c>
      <c r="C34" s="29"/>
      <c r="D34" s="30" t="str">
        <f>IF(LEN(detail!M15)&lt;1,"",detail!M15)</f>
        <v/>
      </c>
      <c r="E34" s="29"/>
      <c r="F34" s="10" t="e">
        <f>DOLLAR(IF(LEN(detail!W15)&lt;1,"",detail!W15), 0) &amp; IF(detail!X15 = 1, "*", "")</f>
        <v>#VALUE!</v>
      </c>
      <c r="G34" s="9" t="str">
        <f>IF(LEN(detail!U15)&lt;1,"",detail!U15)</f>
        <v/>
      </c>
    </row>
    <row r="35" spans="2:7" x14ac:dyDescent="0.25">
      <c r="B35" s="28" t="str">
        <f>IF(LEN(detail!K16)&lt;1,"",detail!K16)</f>
        <v/>
      </c>
      <c r="C35" s="29"/>
      <c r="D35" s="30" t="str">
        <f>IF(LEN(detail!M16)&lt;1,"",detail!M16)</f>
        <v/>
      </c>
      <c r="E35" s="29"/>
      <c r="F35" s="10" t="e">
        <f>DOLLAR(IF(LEN(detail!W16)&lt;1,"",detail!W16), 0) &amp; IF(detail!X16 = 1, "*", "")</f>
        <v>#VALUE!</v>
      </c>
      <c r="G35" s="9" t="str">
        <f>IF(LEN(detail!U16)&lt;1,"",detail!U16)</f>
        <v/>
      </c>
    </row>
    <row r="36" spans="2:7" x14ac:dyDescent="0.25">
      <c r="B36" s="28" t="str">
        <f>IF(LEN(detail!K17)&lt;1,"",detail!K17)</f>
        <v/>
      </c>
      <c r="C36" s="29"/>
      <c r="D36" s="30" t="str">
        <f>IF(LEN(detail!M17)&lt;1,"",detail!M17)</f>
        <v/>
      </c>
      <c r="E36" s="29"/>
      <c r="F36" s="10" t="e">
        <f>DOLLAR(IF(LEN(detail!W17)&lt;1,"",detail!W17), 0) &amp; IF(detail!X17 = 1, "*", "")</f>
        <v>#VALUE!</v>
      </c>
      <c r="G36" s="9" t="str">
        <f>IF(LEN(detail!U17)&lt;1,"",detail!U17)</f>
        <v/>
      </c>
    </row>
    <row r="37" spans="2:7" x14ac:dyDescent="0.25">
      <c r="B37" s="28" t="str">
        <f>IF(LEN(detail!K18)&lt;1,"",detail!K18)</f>
        <v/>
      </c>
      <c r="C37" s="29"/>
      <c r="D37" s="30" t="str">
        <f>IF(LEN(detail!M18)&lt;1,"",detail!M18)</f>
        <v/>
      </c>
      <c r="E37" s="29"/>
      <c r="F37" s="10" t="e">
        <f>DOLLAR(IF(LEN(detail!W18)&lt;1,"",detail!W18), 0) &amp; IF(detail!X18 = 1, "*", "")</f>
        <v>#VALUE!</v>
      </c>
      <c r="G37" s="9" t="str">
        <f>IF(LEN(detail!U18)&lt;1,"",detail!U18)</f>
        <v/>
      </c>
    </row>
    <row r="38" spans="2:7" x14ac:dyDescent="0.25">
      <c r="B38" s="28" t="str">
        <f>IF(LEN(detail!K19)&lt;1,"",detail!K19)</f>
        <v/>
      </c>
      <c r="C38" s="29"/>
      <c r="D38" s="30" t="str">
        <f>IF(LEN(detail!M19)&lt;1,"",detail!M19)</f>
        <v/>
      </c>
      <c r="E38" s="29"/>
      <c r="F38" s="10" t="e">
        <f>DOLLAR(IF(LEN(detail!W19)&lt;1,"",detail!W19), 0) &amp; IF(detail!X19 = 1, "*", "")</f>
        <v>#VALUE!</v>
      </c>
      <c r="G38" s="9" t="str">
        <f>IF(LEN(detail!U19)&lt;1,"",detail!U19)</f>
        <v/>
      </c>
    </row>
    <row r="39" spans="2:7" x14ac:dyDescent="0.25">
      <c r="B39" s="28" t="str">
        <f>IF(LEN(detail!K20)&lt;1,"",detail!K20)</f>
        <v/>
      </c>
      <c r="C39" s="29"/>
      <c r="D39" s="30" t="str">
        <f>IF(LEN(detail!M20)&lt;1,"",detail!M20)</f>
        <v/>
      </c>
      <c r="E39" s="29"/>
      <c r="F39" s="10" t="e">
        <f>DOLLAR(IF(LEN(detail!W20)&lt;1,"",detail!W20), 0) &amp; IF(detail!X20 = 1, "*", "")</f>
        <v>#VALUE!</v>
      </c>
      <c r="G39" s="9" t="str">
        <f>IF(LEN(detail!U20)&lt;1,"",detail!U20)</f>
        <v/>
      </c>
    </row>
    <row r="40" spans="2:7" x14ac:dyDescent="0.25">
      <c r="B40" s="28" t="str">
        <f>IF(LEN(detail!K21)&lt;1,"",detail!K21)</f>
        <v/>
      </c>
      <c r="C40" s="29"/>
      <c r="D40" s="30" t="str">
        <f>IF(LEN(detail!M21)&lt;1,"",detail!M21)</f>
        <v/>
      </c>
      <c r="E40" s="29"/>
      <c r="F40" s="10" t="e">
        <f>DOLLAR(IF(LEN(detail!W21)&lt;1,"",detail!W21), 0) &amp; IF(detail!X21 = 1, "*", "")</f>
        <v>#VALUE!</v>
      </c>
      <c r="G40" s="9" t="str">
        <f>IF(LEN(detail!U21)&lt;1,"",detail!U21)</f>
        <v/>
      </c>
    </row>
    <row r="41" spans="2:7" x14ac:dyDescent="0.25">
      <c r="B41" s="28" t="str">
        <f>IF(LEN(detail!K22)&lt;1,"",detail!K22)</f>
        <v/>
      </c>
      <c r="C41" s="29"/>
      <c r="D41" s="30" t="str">
        <f>IF(LEN(detail!M22)&lt;1,"",detail!M22)</f>
        <v/>
      </c>
      <c r="E41" s="29"/>
      <c r="F41" s="10" t="e">
        <f>DOLLAR(IF(LEN(detail!W22)&lt;1,"",detail!W22), 0) &amp; IF(detail!X22 = 1, "*", "")</f>
        <v>#VALUE!</v>
      </c>
      <c r="G41" s="9" t="str">
        <f>IF(LEN(detail!U22)&lt;1,"",detail!U22)</f>
        <v/>
      </c>
    </row>
    <row r="42" spans="2:7" x14ac:dyDescent="0.25">
      <c r="B42" s="28" t="str">
        <f>IF(LEN(detail!K23)&lt;1,"",detail!K23)</f>
        <v/>
      </c>
      <c r="C42" s="29"/>
      <c r="D42" s="30" t="str">
        <f>IF(LEN(detail!M23)&lt;1,"",detail!M23)</f>
        <v/>
      </c>
      <c r="E42" s="29"/>
      <c r="F42" s="10" t="e">
        <f>DOLLAR(IF(LEN(detail!W23)&lt;1,"",detail!W23), 0) &amp; IF(detail!X23 = 1, "*", "")</f>
        <v>#VALUE!</v>
      </c>
      <c r="G42" s="9" t="str">
        <f>IF(LEN(detail!U23)&lt;1,"",detail!U23)</f>
        <v/>
      </c>
    </row>
    <row r="43" spans="2:7" x14ac:dyDescent="0.25">
      <c r="B43" s="28" t="str">
        <f>IF(LEN(detail!K24)&lt;1,"",detail!K24)</f>
        <v/>
      </c>
      <c r="C43" s="29"/>
      <c r="D43" s="30" t="str">
        <f>IF(LEN(detail!M24)&lt;1,"",detail!M24)</f>
        <v/>
      </c>
      <c r="E43" s="29"/>
      <c r="F43" s="10" t="e">
        <f>DOLLAR(IF(LEN(detail!W24)&lt;1,"",detail!W24), 0) &amp; IF(detail!X24 = 1, "*", "")</f>
        <v>#VALUE!</v>
      </c>
      <c r="G43" s="9" t="str">
        <f>IF(LEN(detail!U24)&lt;1,"",detail!U24)</f>
        <v/>
      </c>
    </row>
    <row r="44" spans="2:7" x14ac:dyDescent="0.25">
      <c r="B44" s="28" t="str">
        <f>IF(LEN(detail!K25)&lt;1,"",detail!K25)</f>
        <v/>
      </c>
      <c r="C44" s="29"/>
      <c r="D44" s="30" t="str">
        <f>IF(LEN(detail!M25)&lt;1,"",detail!M25)</f>
        <v/>
      </c>
      <c r="E44" s="29"/>
      <c r="F44" s="10" t="e">
        <f>DOLLAR(IF(LEN(detail!W25)&lt;1,"",detail!W25), 0) &amp; IF(detail!X25 = 1, "*", "")</f>
        <v>#VALUE!</v>
      </c>
      <c r="G44" s="9" t="str">
        <f>IF(LEN(detail!U25)&lt;1,"",detail!U25)</f>
        <v/>
      </c>
    </row>
    <row r="45" spans="2:7" x14ac:dyDescent="0.25">
      <c r="B45" s="28" t="str">
        <f>IF(LEN(detail!K26)&lt;1,"",detail!K26)</f>
        <v/>
      </c>
      <c r="C45" s="29"/>
      <c r="D45" s="30" t="str">
        <f>IF(LEN(detail!M26)&lt;1,"",detail!M26)</f>
        <v/>
      </c>
      <c r="E45" s="29"/>
      <c r="F45" s="10" t="e">
        <f>DOLLAR(IF(LEN(detail!W26)&lt;1,"",detail!W26), 0) &amp; IF(detail!X26 = 1, "*", "")</f>
        <v>#VALUE!</v>
      </c>
      <c r="G45" s="9" t="str">
        <f>IF(LEN(detail!U26)&lt;1,"",detail!U26)</f>
        <v/>
      </c>
    </row>
    <row r="46" spans="2:7" x14ac:dyDescent="0.25">
      <c r="B46" s="28" t="str">
        <f>IF(LEN(detail!K27)&lt;1,"",detail!K27)</f>
        <v/>
      </c>
      <c r="C46" s="29"/>
      <c r="D46" s="30" t="str">
        <f>IF(LEN(detail!M27)&lt;1,"",detail!M27)</f>
        <v/>
      </c>
      <c r="E46" s="29"/>
      <c r="F46" s="10" t="e">
        <f>DOLLAR(IF(LEN(detail!W27)&lt;1,"",detail!W27), 0) &amp; IF(detail!X27 = 1, "*", "")</f>
        <v>#VALUE!</v>
      </c>
      <c r="G46" s="9" t="str">
        <f>IF(LEN(detail!U27)&lt;1,"",detail!U27)</f>
        <v/>
      </c>
    </row>
    <row r="47" spans="2:7" x14ac:dyDescent="0.25">
      <c r="B47" s="28" t="str">
        <f>IF(LEN(detail!K28)&lt;1,"",detail!K28)</f>
        <v/>
      </c>
      <c r="C47" s="29"/>
      <c r="D47" s="30" t="str">
        <f>IF(LEN(detail!M28)&lt;1,"",detail!M28)</f>
        <v/>
      </c>
      <c r="E47" s="29"/>
      <c r="F47" s="10" t="e">
        <f>DOLLAR(IF(LEN(detail!W28)&lt;1,"",detail!W28), 0) &amp; IF(detail!X28 = 1, "*", "")</f>
        <v>#VALUE!</v>
      </c>
      <c r="G47" s="9" t="str">
        <f>IF(LEN(detail!U28)&lt;1,"",detail!U28)</f>
        <v/>
      </c>
    </row>
    <row r="48" spans="2:7" x14ac:dyDescent="0.25">
      <c r="B48" s="28" t="str">
        <f>IF(LEN(detail!K29)&lt;1,"",detail!K29)</f>
        <v/>
      </c>
      <c r="C48" s="29"/>
      <c r="D48" s="30" t="str">
        <f>IF(LEN(detail!M29)&lt;1,"",detail!M29)</f>
        <v/>
      </c>
      <c r="E48" s="29"/>
      <c r="F48" s="10" t="e">
        <f>DOLLAR(IF(LEN(detail!W29)&lt;1,"",detail!W29), 0) &amp; IF(detail!X29 = 1, "*", "")</f>
        <v>#VALUE!</v>
      </c>
      <c r="G48" s="9" t="str">
        <f>IF(LEN(detail!U29)&lt;1,"",detail!U29)</f>
        <v/>
      </c>
    </row>
    <row r="49" spans="2:7" x14ac:dyDescent="0.25">
      <c r="B49" s="28" t="str">
        <f>IF(LEN(detail!K30)&lt;1,"",detail!K30)</f>
        <v/>
      </c>
      <c r="C49" s="29"/>
      <c r="D49" s="30" t="str">
        <f>IF(LEN(detail!M30)&lt;1,"",detail!M30)</f>
        <v/>
      </c>
      <c r="E49" s="29"/>
      <c r="F49" s="10" t="e">
        <f>DOLLAR(IF(LEN(detail!W30)&lt;1,"",detail!W30), 0) &amp; IF(detail!X30 = 1, "*", "")</f>
        <v>#VALUE!</v>
      </c>
      <c r="G49" s="9" t="str">
        <f>IF(LEN(detail!U30)&lt;1,"",detail!U30)</f>
        <v/>
      </c>
    </row>
    <row r="50" spans="2:7" x14ac:dyDescent="0.25">
      <c r="B50" s="28" t="str">
        <f>IF(LEN(detail!K31)&lt;1,"",detail!K31)</f>
        <v/>
      </c>
      <c r="C50" s="29"/>
      <c r="D50" s="30" t="str">
        <f>IF(LEN(detail!M31)&lt;1,"",detail!M31)</f>
        <v/>
      </c>
      <c r="E50" s="29"/>
      <c r="F50" s="10" t="e">
        <f>DOLLAR(IF(LEN(detail!W31)&lt;1,"",detail!W31), 0) &amp; IF(detail!X31 = 1, "*", "")</f>
        <v>#VALUE!</v>
      </c>
      <c r="G50" s="9" t="str">
        <f>IF(LEN(detail!U31)&lt;1,"",detail!U31)</f>
        <v/>
      </c>
    </row>
    <row r="51" spans="2:7" x14ac:dyDescent="0.25">
      <c r="B51" s="28" t="str">
        <f>IF(LEN(detail!K32)&lt;1,"",detail!K32)</f>
        <v/>
      </c>
      <c r="C51" s="29"/>
      <c r="D51" s="30" t="str">
        <f>IF(LEN(detail!M32)&lt;1,"",detail!M32)</f>
        <v/>
      </c>
      <c r="E51" s="29"/>
      <c r="F51" s="10" t="e">
        <f>DOLLAR(IF(LEN(detail!W32)&lt;1,"",detail!W32), 0) &amp; IF(detail!X32 = 1, "*", "")</f>
        <v>#VALUE!</v>
      </c>
      <c r="G51" s="9" t="str">
        <f>IF(LEN(detail!U32)&lt;1,"",detail!U32)</f>
        <v/>
      </c>
    </row>
    <row r="52" spans="2:7" x14ac:dyDescent="0.25">
      <c r="B52" s="28" t="str">
        <f>IF(LEN(detail!K33)&lt;1,"",detail!K33)</f>
        <v/>
      </c>
      <c r="C52" s="29"/>
      <c r="D52" s="30" t="str">
        <f>IF(LEN(detail!M33)&lt;1,"",detail!M33)</f>
        <v/>
      </c>
      <c r="E52" s="29"/>
      <c r="F52" s="10" t="e">
        <f>DOLLAR(IF(LEN(detail!W33)&lt;1,"",detail!W33), 0) &amp; IF(detail!X33 = 1, "*", "")</f>
        <v>#VALUE!</v>
      </c>
      <c r="G52" s="9" t="str">
        <f>IF(LEN(detail!U33)&lt;1,"",detail!U33)</f>
        <v/>
      </c>
    </row>
    <row r="53" spans="2:7" x14ac:dyDescent="0.25">
      <c r="B53" s="28" t="str">
        <f>IF(LEN(detail!K34)&lt;1,"",detail!K34)</f>
        <v/>
      </c>
      <c r="C53" s="29"/>
      <c r="D53" s="30" t="str">
        <f>IF(LEN(detail!M34)&lt;1,"",detail!M34)</f>
        <v/>
      </c>
      <c r="E53" s="29"/>
      <c r="F53" s="10" t="e">
        <f>DOLLAR(IF(LEN(detail!W34)&lt;1,"",detail!W34), 0) &amp; IF(detail!X34 = 1, "*", "")</f>
        <v>#VALUE!</v>
      </c>
      <c r="G53" s="9" t="str">
        <f>IF(LEN(detail!U34)&lt;1,"",detail!U34)</f>
        <v/>
      </c>
    </row>
    <row r="54" spans="2:7" x14ac:dyDescent="0.25">
      <c r="B54" s="28" t="str">
        <f>IF(LEN(detail!K35)&lt;1,"",detail!K35)</f>
        <v/>
      </c>
      <c r="C54" s="29"/>
      <c r="D54" s="30" t="str">
        <f>IF(LEN(detail!M35)&lt;1,"",detail!M35)</f>
        <v/>
      </c>
      <c r="E54" s="29"/>
      <c r="F54" s="10" t="e">
        <f>DOLLAR(IF(LEN(detail!W35)&lt;1,"",detail!W35), 0) &amp; IF(detail!X35 = 1, "*", "")</f>
        <v>#VALUE!</v>
      </c>
      <c r="G54" s="9" t="str">
        <f>IF(LEN(detail!U35)&lt;1,"",detail!U35)</f>
        <v/>
      </c>
    </row>
    <row r="55" spans="2:7" x14ac:dyDescent="0.25">
      <c r="B55" s="28" t="str">
        <f>IF(LEN(detail!K36)&lt;1,"",detail!K36)</f>
        <v/>
      </c>
      <c r="C55" s="29"/>
      <c r="D55" s="30" t="str">
        <f>IF(LEN(detail!M36)&lt;1,"",detail!M36)</f>
        <v/>
      </c>
      <c r="E55" s="29"/>
      <c r="F55" s="10" t="e">
        <f>DOLLAR(IF(LEN(detail!W36)&lt;1,"",detail!W36), 0) &amp; IF(detail!X36 = 1, "*", "")</f>
        <v>#VALUE!</v>
      </c>
      <c r="G55" s="9" t="str">
        <f>IF(LEN(detail!U36)&lt;1,"",detail!U36)</f>
        <v/>
      </c>
    </row>
    <row r="56" spans="2:7" x14ac:dyDescent="0.25">
      <c r="B56" s="28" t="str">
        <f>IF(LEN(detail!K37)&lt;1,"",detail!K37)</f>
        <v/>
      </c>
      <c r="C56" s="29"/>
      <c r="D56" s="30" t="str">
        <f>IF(LEN(detail!M37)&lt;1,"",detail!M37)</f>
        <v/>
      </c>
      <c r="E56" s="29"/>
      <c r="F56" s="10" t="e">
        <f>DOLLAR(IF(LEN(detail!W37)&lt;1,"",detail!W37), 0) &amp; IF(detail!X37 = 1, "*", "")</f>
        <v>#VALUE!</v>
      </c>
      <c r="G56" s="9" t="str">
        <f>IF(LEN(detail!U37)&lt;1,"",detail!U37)</f>
        <v/>
      </c>
    </row>
    <row r="57" spans="2:7" x14ac:dyDescent="0.25">
      <c r="B57" s="1" t="s">
        <v>18</v>
      </c>
    </row>
  </sheetData>
  <mergeCells count="82">
    <mergeCell ref="E10:F10"/>
    <mergeCell ref="B23:C23"/>
    <mergeCell ref="D32:E32"/>
    <mergeCell ref="D41:E41"/>
    <mergeCell ref="D43:E43"/>
    <mergeCell ref="E11:F11"/>
    <mergeCell ref="D42:E42"/>
    <mergeCell ref="B36:C36"/>
    <mergeCell ref="D55:E55"/>
    <mergeCell ref="D30:E30"/>
    <mergeCell ref="B20:C20"/>
    <mergeCell ref="B45:C45"/>
    <mergeCell ref="D54:E54"/>
    <mergeCell ref="B47:C47"/>
    <mergeCell ref="B46:C46"/>
    <mergeCell ref="D46:E46"/>
    <mergeCell ref="D40:E40"/>
    <mergeCell ref="D21:E21"/>
    <mergeCell ref="B39:C39"/>
    <mergeCell ref="B48:C48"/>
    <mergeCell ref="B50:C50"/>
    <mergeCell ref="D50:E50"/>
    <mergeCell ref="D44:E44"/>
    <mergeCell ref="E9:G9"/>
    <mergeCell ref="B56:C56"/>
    <mergeCell ref="B43:C43"/>
    <mergeCell ref="B52:C52"/>
    <mergeCell ref="D52:E52"/>
    <mergeCell ref="D49:E49"/>
    <mergeCell ref="D27:E27"/>
    <mergeCell ref="B42:C42"/>
    <mergeCell ref="E13:F13"/>
    <mergeCell ref="B44:C44"/>
    <mergeCell ref="B34:C34"/>
    <mergeCell ref="B28:C28"/>
    <mergeCell ref="D28:E28"/>
    <mergeCell ref="B9:C9"/>
    <mergeCell ref="D25:E25"/>
    <mergeCell ref="B30:C30"/>
    <mergeCell ref="E12:F12"/>
    <mergeCell ref="B25:C25"/>
    <mergeCell ref="D34:E34"/>
    <mergeCell ref="B27:C27"/>
    <mergeCell ref="B53:C53"/>
    <mergeCell ref="D53:E53"/>
    <mergeCell ref="D47:E47"/>
    <mergeCell ref="B29:C29"/>
    <mergeCell ref="B37:C37"/>
    <mergeCell ref="D37:E37"/>
    <mergeCell ref="D39:E39"/>
    <mergeCell ref="E16:F16"/>
    <mergeCell ref="D29:E29"/>
    <mergeCell ref="D23:E23"/>
    <mergeCell ref="D38:E38"/>
    <mergeCell ref="B19:G19"/>
    <mergeCell ref="D56:E56"/>
    <mergeCell ref="B49:C49"/>
    <mergeCell ref="B55:C55"/>
    <mergeCell ref="B24:C24"/>
    <mergeCell ref="D24:E24"/>
    <mergeCell ref="B33:C33"/>
    <mergeCell ref="D33:E33"/>
    <mergeCell ref="B51:C51"/>
    <mergeCell ref="D51:E51"/>
    <mergeCell ref="B32:C32"/>
    <mergeCell ref="B26:C26"/>
    <mergeCell ref="B41:C41"/>
    <mergeCell ref="D26:E26"/>
    <mergeCell ref="B35:C35"/>
    <mergeCell ref="D35:E35"/>
    <mergeCell ref="B54:C54"/>
    <mergeCell ref="D45:E45"/>
    <mergeCell ref="B21:C21"/>
    <mergeCell ref="D48:E48"/>
    <mergeCell ref="B38:C38"/>
    <mergeCell ref="B40:C40"/>
    <mergeCell ref="D20:E20"/>
    <mergeCell ref="B22:C22"/>
    <mergeCell ref="D22:E22"/>
    <mergeCell ref="B31:C31"/>
    <mergeCell ref="D36:E36"/>
    <mergeCell ref="D31:E31"/>
  </mergeCells>
  <conditionalFormatting sqref="B21:B56 D21:D56 F21:G56">
    <cfRule type="containsErrors" dxfId="0" priority="1">
      <formula>ISERROR(B21)</formula>
    </cfRule>
  </conditionalFormatting>
  <pageMargins left="0.7" right="0.7" top="0.75" bottom="0.75" header="0.3" footer="0.3"/>
  <pageSetup orientation="portrait" horizontalDpi="1200" verticalDpi="12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H12"/>
  <sheetViews>
    <sheetView workbookViewId="0"/>
  </sheetViews>
  <sheetFormatPr defaultRowHeight="15" x14ac:dyDescent="0.25"/>
  <sheetData>
    <row r="1" spans="1:8" x14ac:dyDescent="0.25">
      <c r="A1" s="25" t="s">
        <v>19</v>
      </c>
      <c r="B1" s="25" t="s">
        <v>20</v>
      </c>
      <c r="C1" s="25" t="s">
        <v>21</v>
      </c>
      <c r="D1" s="25" t="s">
        <v>22</v>
      </c>
      <c r="E1" s="25" t="s">
        <v>23</v>
      </c>
      <c r="F1" s="25" t="s">
        <v>24</v>
      </c>
      <c r="G1" s="25" t="s">
        <v>25</v>
      </c>
      <c r="H1" s="25" t="s">
        <v>26</v>
      </c>
    </row>
    <row r="2" spans="1:8" x14ac:dyDescent="0.25">
      <c r="A2" t="s">
        <v>27</v>
      </c>
      <c r="B2" t="s">
        <v>28</v>
      </c>
      <c r="C2" t="s">
        <v>29</v>
      </c>
      <c r="D2" t="s">
        <v>30</v>
      </c>
      <c r="E2" t="s">
        <v>31</v>
      </c>
      <c r="F2">
        <v>172500</v>
      </c>
      <c r="G2" t="s">
        <v>32</v>
      </c>
    </row>
    <row r="3" spans="1:8" x14ac:dyDescent="0.25">
      <c r="A3" t="s">
        <v>27</v>
      </c>
      <c r="B3" t="s">
        <v>28</v>
      </c>
      <c r="C3" t="s">
        <v>29</v>
      </c>
      <c r="D3" t="s">
        <v>30</v>
      </c>
      <c r="E3" t="s">
        <v>31</v>
      </c>
      <c r="F3">
        <v>289704.55</v>
      </c>
      <c r="G3" t="s">
        <v>33</v>
      </c>
    </row>
    <row r="4" spans="1:8" x14ac:dyDescent="0.25">
      <c r="A4" t="s">
        <v>27</v>
      </c>
      <c r="B4" t="s">
        <v>28</v>
      </c>
      <c r="C4" t="s">
        <v>29</v>
      </c>
      <c r="D4" t="s">
        <v>30</v>
      </c>
      <c r="E4" t="s">
        <v>31</v>
      </c>
      <c r="F4">
        <v>6054.83</v>
      </c>
      <c r="G4" t="s">
        <v>34</v>
      </c>
    </row>
    <row r="5" spans="1:8" x14ac:dyDescent="0.25">
      <c r="A5" t="s">
        <v>27</v>
      </c>
      <c r="B5" t="s">
        <v>28</v>
      </c>
      <c r="C5" t="s">
        <v>29</v>
      </c>
      <c r="D5" t="s">
        <v>30</v>
      </c>
      <c r="E5" t="s">
        <v>31</v>
      </c>
      <c r="F5">
        <v>0</v>
      </c>
      <c r="G5" t="s">
        <v>35</v>
      </c>
    </row>
    <row r="6" spans="1:8" x14ac:dyDescent="0.25">
      <c r="A6" t="s">
        <v>27</v>
      </c>
      <c r="B6" t="s">
        <v>28</v>
      </c>
      <c r="C6" t="s">
        <v>29</v>
      </c>
      <c r="D6" t="s">
        <v>30</v>
      </c>
      <c r="E6" t="s">
        <v>31</v>
      </c>
      <c r="F6">
        <v>289704.55</v>
      </c>
      <c r="G6" t="s">
        <v>36</v>
      </c>
    </row>
    <row r="7" spans="1:8" x14ac:dyDescent="0.25">
      <c r="A7" t="s">
        <v>27</v>
      </c>
      <c r="B7" t="s">
        <v>28</v>
      </c>
      <c r="C7" t="s">
        <v>29</v>
      </c>
      <c r="D7" t="s">
        <v>30</v>
      </c>
      <c r="E7" t="s">
        <v>31</v>
      </c>
      <c r="F7">
        <v>0</v>
      </c>
      <c r="G7" t="s">
        <v>37</v>
      </c>
    </row>
    <row r="8" spans="1:8" x14ac:dyDescent="0.25">
      <c r="A8" t="s">
        <v>27</v>
      </c>
      <c r="B8" t="s">
        <v>28</v>
      </c>
      <c r="C8" t="s">
        <v>29</v>
      </c>
      <c r="D8" t="s">
        <v>30</v>
      </c>
      <c r="E8" t="s">
        <v>31</v>
      </c>
      <c r="F8">
        <v>6054.83</v>
      </c>
      <c r="G8" t="s">
        <v>38</v>
      </c>
    </row>
    <row r="9" spans="1:8" x14ac:dyDescent="0.25">
      <c r="A9" t="s">
        <v>27</v>
      </c>
      <c r="B9" t="s">
        <v>28</v>
      </c>
      <c r="C9" t="s">
        <v>29</v>
      </c>
      <c r="D9" t="s">
        <v>30</v>
      </c>
      <c r="E9" t="s">
        <v>31</v>
      </c>
      <c r="F9">
        <v>18750</v>
      </c>
      <c r="G9" t="s">
        <v>39</v>
      </c>
    </row>
    <row r="10" spans="1:8" x14ac:dyDescent="0.25">
      <c r="A10" t="s">
        <v>27</v>
      </c>
      <c r="B10" t="s">
        <v>28</v>
      </c>
      <c r="C10" t="s">
        <v>29</v>
      </c>
      <c r="D10" t="s">
        <v>30</v>
      </c>
      <c r="E10" t="s">
        <v>31</v>
      </c>
      <c r="F10">
        <v>18750</v>
      </c>
      <c r="G10" t="s">
        <v>40</v>
      </c>
    </row>
    <row r="11" spans="1:8" x14ac:dyDescent="0.25">
      <c r="A11" t="s">
        <v>27</v>
      </c>
      <c r="B11" t="s">
        <v>28</v>
      </c>
      <c r="C11" t="s">
        <v>29</v>
      </c>
      <c r="D11" t="s">
        <v>30</v>
      </c>
      <c r="E11" t="s">
        <v>31</v>
      </c>
      <c r="F11">
        <v>8</v>
      </c>
      <c r="G11" t="s">
        <v>41</v>
      </c>
    </row>
    <row r="12" spans="1:8" x14ac:dyDescent="0.25">
      <c r="A12" t="s">
        <v>27</v>
      </c>
      <c r="B12" t="s">
        <v>28</v>
      </c>
      <c r="C12" t="s">
        <v>29</v>
      </c>
      <c r="D12" t="s">
        <v>30</v>
      </c>
      <c r="E12" t="s">
        <v>31</v>
      </c>
      <c r="F12">
        <v>13</v>
      </c>
      <c r="G12" t="s">
        <v>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B25"/>
  <sheetViews>
    <sheetView workbookViewId="0"/>
  </sheetViews>
  <sheetFormatPr defaultRowHeight="15" x14ac:dyDescent="0.25"/>
  <cols>
    <col min="1" max="1" width="11.140625" bestFit="1" customWidth="1"/>
    <col min="2" max="2" width="23.7109375" bestFit="1" customWidth="1"/>
  </cols>
  <sheetData>
    <row r="1" spans="1:2" x14ac:dyDescent="0.25">
      <c r="A1" t="s">
        <v>43</v>
      </c>
      <c r="B1" t="s">
        <v>44</v>
      </c>
    </row>
    <row r="2" spans="1:2" x14ac:dyDescent="0.25">
      <c r="A2" t="s">
        <v>45</v>
      </c>
      <c r="B2" t="s">
        <v>46</v>
      </c>
    </row>
    <row r="3" spans="1:2" x14ac:dyDescent="0.25">
      <c r="A3" t="s">
        <v>47</v>
      </c>
      <c r="B3" t="s">
        <v>48</v>
      </c>
    </row>
    <row r="4" spans="1:2" x14ac:dyDescent="0.25">
      <c r="A4" t="s">
        <v>49</v>
      </c>
      <c r="B4" t="s">
        <v>28</v>
      </c>
    </row>
    <row r="5" spans="1:2" x14ac:dyDescent="0.25">
      <c r="A5" t="s">
        <v>50</v>
      </c>
      <c r="B5" t="s">
        <v>51</v>
      </c>
    </row>
    <row r="6" spans="1:2" x14ac:dyDescent="0.25">
      <c r="A6" t="s">
        <v>52</v>
      </c>
      <c r="B6" t="s">
        <v>53</v>
      </c>
    </row>
    <row r="7" spans="1:2" x14ac:dyDescent="0.25">
      <c r="A7" t="s">
        <v>54</v>
      </c>
      <c r="B7" t="s">
        <v>55</v>
      </c>
    </row>
    <row r="22" ht="15.95" customHeight="1" x14ac:dyDescent="0.25"/>
    <row r="23" ht="15.95" customHeight="1" x14ac:dyDescent="0.25"/>
    <row r="24" ht="3.95" customHeight="1" x14ac:dyDescent="0.25"/>
    <row r="25" ht="3.9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J10"/>
  <sheetViews>
    <sheetView workbookViewId="0"/>
  </sheetViews>
  <sheetFormatPr defaultRowHeight="15" x14ac:dyDescent="0.25"/>
  <sheetData>
    <row r="1" spans="1:36" x14ac:dyDescent="0.25">
      <c r="A1" s="25" t="s">
        <v>56</v>
      </c>
      <c r="B1" s="25" t="s">
        <v>57</v>
      </c>
      <c r="C1" s="25" t="s">
        <v>58</v>
      </c>
      <c r="D1" s="25" t="s">
        <v>59</v>
      </c>
      <c r="E1" s="25" t="s">
        <v>60</v>
      </c>
      <c r="F1" s="25" t="s">
        <v>61</v>
      </c>
      <c r="G1" s="25" t="s">
        <v>62</v>
      </c>
      <c r="H1" s="25" t="s">
        <v>63</v>
      </c>
      <c r="I1" s="25" t="s">
        <v>64</v>
      </c>
      <c r="J1" s="25" t="s">
        <v>65</v>
      </c>
      <c r="K1" s="25" t="s">
        <v>66</v>
      </c>
      <c r="L1" s="25" t="s">
        <v>67</v>
      </c>
      <c r="M1" s="25" t="s">
        <v>68</v>
      </c>
      <c r="N1" s="25" t="s">
        <v>69</v>
      </c>
      <c r="O1" s="25" t="s">
        <v>70</v>
      </c>
      <c r="P1" s="25" t="s">
        <v>71</v>
      </c>
      <c r="Q1" s="25" t="s">
        <v>72</v>
      </c>
      <c r="R1" s="25" t="s">
        <v>73</v>
      </c>
      <c r="S1" s="25" t="s">
        <v>74</v>
      </c>
      <c r="T1" s="25" t="s">
        <v>42</v>
      </c>
      <c r="U1" s="25" t="s">
        <v>41</v>
      </c>
      <c r="V1" s="25" t="s">
        <v>33</v>
      </c>
      <c r="W1" s="25" t="s">
        <v>75</v>
      </c>
      <c r="X1" s="25" t="s">
        <v>76</v>
      </c>
      <c r="Y1" s="25" t="s">
        <v>77</v>
      </c>
      <c r="Z1" s="25" t="s">
        <v>78</v>
      </c>
      <c r="AA1" s="25" t="s">
        <v>79</v>
      </c>
      <c r="AB1" s="25" t="s">
        <v>80</v>
      </c>
      <c r="AC1" s="25" t="s">
        <v>81</v>
      </c>
      <c r="AD1" s="25" t="s">
        <v>82</v>
      </c>
      <c r="AE1" s="25" t="s">
        <v>83</v>
      </c>
      <c r="AF1" s="25" t="s">
        <v>84</v>
      </c>
      <c r="AG1" s="25" t="s">
        <v>36</v>
      </c>
      <c r="AH1" s="25" t="s">
        <v>37</v>
      </c>
      <c r="AI1" s="25" t="s">
        <v>34</v>
      </c>
      <c r="AJ1" s="25" t="s">
        <v>35</v>
      </c>
    </row>
    <row r="2" spans="1:36" x14ac:dyDescent="0.25">
      <c r="A2" t="s">
        <v>51</v>
      </c>
      <c r="B2" t="s">
        <v>85</v>
      </c>
      <c r="C2" t="s">
        <v>28</v>
      </c>
      <c r="D2" t="s">
        <v>86</v>
      </c>
      <c r="E2" s="14">
        <v>45874</v>
      </c>
      <c r="F2" t="s">
        <v>27</v>
      </c>
      <c r="G2" t="s">
        <v>29</v>
      </c>
      <c r="H2" s="14">
        <v>45870</v>
      </c>
      <c r="I2" t="s">
        <v>27</v>
      </c>
      <c r="J2" t="s">
        <v>29</v>
      </c>
      <c r="K2" t="s">
        <v>87</v>
      </c>
      <c r="L2" t="s">
        <v>88</v>
      </c>
      <c r="M2" t="s">
        <v>89</v>
      </c>
      <c r="N2" t="s">
        <v>90</v>
      </c>
      <c r="O2" t="s">
        <v>91</v>
      </c>
      <c r="P2" t="s">
        <v>92</v>
      </c>
      <c r="Q2" t="s">
        <v>93</v>
      </c>
      <c r="R2" t="s">
        <v>94</v>
      </c>
      <c r="S2">
        <v>1</v>
      </c>
      <c r="T2">
        <v>1</v>
      </c>
      <c r="U2">
        <v>1</v>
      </c>
      <c r="V2">
        <v>28000</v>
      </c>
      <c r="W2">
        <v>28676.13636363636</v>
      </c>
      <c r="X2">
        <v>1</v>
      </c>
      <c r="Y2">
        <v>28000</v>
      </c>
      <c r="Z2">
        <v>1672407.12</v>
      </c>
      <c r="AA2">
        <v>2229876.1598999999</v>
      </c>
      <c r="AB2">
        <v>2.0899999999999998E-2</v>
      </c>
      <c r="AC2">
        <v>4.1799999999999997E-2</v>
      </c>
      <c r="AD2">
        <v>304509.8572938689</v>
      </c>
      <c r="AE2">
        <v>12</v>
      </c>
      <c r="AF2">
        <v>12</v>
      </c>
      <c r="AG2">
        <v>28676.13636363636</v>
      </c>
      <c r="AH2">
        <v>0</v>
      </c>
      <c r="AI2">
        <v>599.33124999999995</v>
      </c>
      <c r="AJ2">
        <v>0</v>
      </c>
    </row>
    <row r="3" spans="1:36" x14ac:dyDescent="0.25">
      <c r="A3" t="s">
        <v>51</v>
      </c>
      <c r="B3" t="s">
        <v>85</v>
      </c>
      <c r="C3" t="s">
        <v>28</v>
      </c>
      <c r="D3" t="s">
        <v>95</v>
      </c>
      <c r="E3" s="14">
        <v>45874</v>
      </c>
      <c r="F3" t="s">
        <v>27</v>
      </c>
      <c r="G3" t="s">
        <v>29</v>
      </c>
      <c r="H3" s="14">
        <v>45874</v>
      </c>
      <c r="I3" t="s">
        <v>27</v>
      </c>
      <c r="J3" t="s">
        <v>29</v>
      </c>
      <c r="K3" t="s">
        <v>96</v>
      </c>
      <c r="L3" t="s">
        <v>97</v>
      </c>
      <c r="M3" t="s">
        <v>98</v>
      </c>
      <c r="N3" t="s">
        <v>99</v>
      </c>
      <c r="O3" t="s">
        <v>100</v>
      </c>
      <c r="P3" t="s">
        <v>101</v>
      </c>
      <c r="Q3" t="s">
        <v>93</v>
      </c>
      <c r="R3" t="s">
        <v>94</v>
      </c>
      <c r="S3">
        <v>1</v>
      </c>
      <c r="T3">
        <v>1</v>
      </c>
      <c r="U3">
        <v>0</v>
      </c>
      <c r="V3">
        <v>0</v>
      </c>
      <c r="W3">
        <v>28676.13636363636</v>
      </c>
      <c r="X3">
        <v>0</v>
      </c>
      <c r="Y3">
        <v>0</v>
      </c>
      <c r="Z3">
        <v>1672407.12</v>
      </c>
      <c r="AA3">
        <v>2229876.1598999999</v>
      </c>
      <c r="AB3">
        <v>2.0899999999999998E-2</v>
      </c>
      <c r="AC3">
        <v>4.1799999999999997E-2</v>
      </c>
      <c r="AD3">
        <v>333185.99365750531</v>
      </c>
      <c r="AE3">
        <v>13</v>
      </c>
      <c r="AF3">
        <v>12</v>
      </c>
      <c r="AG3">
        <v>28676.13636363636</v>
      </c>
      <c r="AH3">
        <v>0</v>
      </c>
      <c r="AI3">
        <v>599.33124999999995</v>
      </c>
      <c r="AJ3">
        <v>0</v>
      </c>
    </row>
    <row r="4" spans="1:36" x14ac:dyDescent="0.25">
      <c r="A4" t="s">
        <v>51</v>
      </c>
      <c r="B4" t="s">
        <v>85</v>
      </c>
      <c r="C4" t="s">
        <v>28</v>
      </c>
      <c r="D4" t="s">
        <v>95</v>
      </c>
      <c r="E4" s="14">
        <v>45881</v>
      </c>
      <c r="F4" t="s">
        <v>27</v>
      </c>
      <c r="G4" t="s">
        <v>29</v>
      </c>
      <c r="H4" s="14">
        <v>45838</v>
      </c>
      <c r="I4" t="s">
        <v>102</v>
      </c>
      <c r="J4" t="s">
        <v>103</v>
      </c>
      <c r="K4" t="s">
        <v>104</v>
      </c>
      <c r="L4" t="s">
        <v>105</v>
      </c>
      <c r="M4" t="s">
        <v>106</v>
      </c>
      <c r="N4" t="s">
        <v>107</v>
      </c>
      <c r="O4" t="s">
        <v>108</v>
      </c>
      <c r="P4" t="s">
        <v>109</v>
      </c>
      <c r="Q4" t="s">
        <v>93</v>
      </c>
      <c r="R4" t="s">
        <v>94</v>
      </c>
      <c r="S4">
        <v>1</v>
      </c>
      <c r="T4">
        <v>1</v>
      </c>
      <c r="U4">
        <v>1</v>
      </c>
      <c r="V4">
        <v>35000</v>
      </c>
      <c r="W4">
        <v>35000</v>
      </c>
      <c r="X4">
        <v>0</v>
      </c>
      <c r="Y4">
        <v>35000</v>
      </c>
      <c r="Z4">
        <v>1672407.12</v>
      </c>
      <c r="AA4">
        <v>2229876.1598999999</v>
      </c>
      <c r="AB4">
        <v>2.0899999999999998E-2</v>
      </c>
      <c r="AC4">
        <v>4.1799999999999997E-2</v>
      </c>
      <c r="AD4">
        <v>368185.99365750531</v>
      </c>
      <c r="AE4">
        <v>42</v>
      </c>
      <c r="AF4">
        <v>13</v>
      </c>
      <c r="AG4">
        <v>35000</v>
      </c>
      <c r="AH4">
        <v>0</v>
      </c>
      <c r="AI4">
        <v>731.5</v>
      </c>
      <c r="AJ4">
        <v>0</v>
      </c>
    </row>
    <row r="5" spans="1:36" x14ac:dyDescent="0.25">
      <c r="A5" t="s">
        <v>51</v>
      </c>
      <c r="B5" t="s">
        <v>85</v>
      </c>
      <c r="C5" t="s">
        <v>28</v>
      </c>
      <c r="D5" t="s">
        <v>110</v>
      </c>
      <c r="E5" s="14">
        <v>45884</v>
      </c>
      <c r="F5" t="s">
        <v>27</v>
      </c>
      <c r="G5" t="s">
        <v>29</v>
      </c>
      <c r="H5" s="14">
        <v>45882</v>
      </c>
      <c r="I5" t="s">
        <v>27</v>
      </c>
      <c r="J5" t="s">
        <v>29</v>
      </c>
      <c r="K5" t="s">
        <v>111</v>
      </c>
      <c r="L5" t="s">
        <v>112</v>
      </c>
      <c r="M5" t="s">
        <v>113</v>
      </c>
      <c r="N5" t="s">
        <v>114</v>
      </c>
      <c r="O5" t="s">
        <v>115</v>
      </c>
      <c r="P5" t="s">
        <v>116</v>
      </c>
      <c r="Q5" t="s">
        <v>93</v>
      </c>
      <c r="R5" t="s">
        <v>94</v>
      </c>
      <c r="S5">
        <v>1</v>
      </c>
      <c r="T5">
        <v>1</v>
      </c>
      <c r="U5">
        <v>1</v>
      </c>
      <c r="V5">
        <v>35000</v>
      </c>
      <c r="W5">
        <v>35000</v>
      </c>
      <c r="X5">
        <v>0</v>
      </c>
      <c r="Y5">
        <v>35000</v>
      </c>
      <c r="Z5">
        <v>1672407.12</v>
      </c>
      <c r="AA5">
        <v>2229876.1598999999</v>
      </c>
      <c r="AB5">
        <v>2.0899999999999998E-2</v>
      </c>
      <c r="AC5">
        <v>4.1799999999999997E-2</v>
      </c>
      <c r="AD5">
        <v>403185.99365750531</v>
      </c>
      <c r="AE5">
        <v>14</v>
      </c>
      <c r="AF5">
        <v>14</v>
      </c>
      <c r="AG5">
        <v>35000</v>
      </c>
      <c r="AH5">
        <v>0</v>
      </c>
      <c r="AI5">
        <v>731.5</v>
      </c>
      <c r="AJ5">
        <v>0</v>
      </c>
    </row>
    <row r="6" spans="1:36" x14ac:dyDescent="0.25">
      <c r="A6" t="s">
        <v>51</v>
      </c>
      <c r="B6" t="s">
        <v>85</v>
      </c>
      <c r="C6" t="s">
        <v>28</v>
      </c>
      <c r="D6" t="s">
        <v>110</v>
      </c>
      <c r="E6" s="14">
        <v>45888</v>
      </c>
      <c r="F6" t="s">
        <v>27</v>
      </c>
      <c r="G6" t="s">
        <v>29</v>
      </c>
      <c r="H6" s="14">
        <v>45887</v>
      </c>
      <c r="I6" t="s">
        <v>27</v>
      </c>
      <c r="J6" t="s">
        <v>29</v>
      </c>
      <c r="K6" t="s">
        <v>117</v>
      </c>
      <c r="L6" t="s">
        <v>118</v>
      </c>
      <c r="M6" t="s">
        <v>119</v>
      </c>
      <c r="N6" t="s">
        <v>120</v>
      </c>
      <c r="O6" t="s">
        <v>121</v>
      </c>
      <c r="P6" t="s">
        <v>122</v>
      </c>
      <c r="Q6" t="s">
        <v>93</v>
      </c>
      <c r="R6" t="s">
        <v>94</v>
      </c>
      <c r="S6">
        <v>1</v>
      </c>
      <c r="T6">
        <v>1</v>
      </c>
      <c r="U6">
        <v>1</v>
      </c>
      <c r="V6">
        <v>28000</v>
      </c>
      <c r="W6">
        <v>28676.13636363636</v>
      </c>
      <c r="X6">
        <v>1</v>
      </c>
      <c r="Y6">
        <v>28000</v>
      </c>
      <c r="Z6">
        <v>1672407.12</v>
      </c>
      <c r="AA6">
        <v>2229876.1598999999</v>
      </c>
      <c r="AB6">
        <v>2.0899999999999998E-2</v>
      </c>
      <c r="AC6">
        <v>4.1799999999999997E-2</v>
      </c>
      <c r="AD6">
        <v>431862.13002114161</v>
      </c>
      <c r="AE6">
        <v>17</v>
      </c>
      <c r="AF6">
        <v>15</v>
      </c>
      <c r="AG6">
        <v>28676.13636363636</v>
      </c>
      <c r="AH6">
        <v>0</v>
      </c>
      <c r="AI6">
        <v>599.33124999999995</v>
      </c>
      <c r="AJ6">
        <v>0</v>
      </c>
    </row>
    <row r="7" spans="1:36" x14ac:dyDescent="0.25">
      <c r="A7" t="s">
        <v>51</v>
      </c>
      <c r="B7" t="s">
        <v>85</v>
      </c>
      <c r="C7" t="s">
        <v>28</v>
      </c>
      <c r="D7" t="s">
        <v>123</v>
      </c>
      <c r="E7" s="14">
        <v>45890</v>
      </c>
      <c r="F7" t="s">
        <v>27</v>
      </c>
      <c r="G7" t="s">
        <v>29</v>
      </c>
      <c r="H7" s="14">
        <v>45889</v>
      </c>
      <c r="I7" t="s">
        <v>27</v>
      </c>
      <c r="J7" t="s">
        <v>29</v>
      </c>
      <c r="K7" t="s">
        <v>124</v>
      </c>
      <c r="L7" t="s">
        <v>125</v>
      </c>
      <c r="M7" t="s">
        <v>126</v>
      </c>
      <c r="N7" t="s">
        <v>127</v>
      </c>
      <c r="O7" t="s">
        <v>128</v>
      </c>
      <c r="P7" t="s">
        <v>129</v>
      </c>
      <c r="Q7" t="s">
        <v>93</v>
      </c>
      <c r="R7" t="s">
        <v>94</v>
      </c>
      <c r="S7">
        <v>1</v>
      </c>
      <c r="T7">
        <v>1</v>
      </c>
      <c r="U7">
        <v>1</v>
      </c>
      <c r="V7">
        <v>28000</v>
      </c>
      <c r="W7">
        <v>28676.13636363636</v>
      </c>
      <c r="X7">
        <v>1</v>
      </c>
      <c r="Y7">
        <v>28000</v>
      </c>
      <c r="Z7">
        <v>1672407.12</v>
      </c>
      <c r="AA7">
        <v>2229876.1598999999</v>
      </c>
      <c r="AB7">
        <v>2.0899999999999998E-2</v>
      </c>
      <c r="AC7">
        <v>4.1799999999999997E-2</v>
      </c>
      <c r="AD7">
        <v>460538.26638477802</v>
      </c>
      <c r="AE7">
        <v>18</v>
      </c>
      <c r="AF7">
        <v>16</v>
      </c>
      <c r="AG7">
        <v>28676.13636363636</v>
      </c>
      <c r="AH7">
        <v>0</v>
      </c>
      <c r="AI7">
        <v>599.33124999999995</v>
      </c>
      <c r="AJ7">
        <v>0</v>
      </c>
    </row>
    <row r="8" spans="1:36" x14ac:dyDescent="0.25">
      <c r="A8" t="s">
        <v>51</v>
      </c>
      <c r="B8" t="s">
        <v>85</v>
      </c>
      <c r="C8" t="s">
        <v>28</v>
      </c>
      <c r="D8" t="s">
        <v>110</v>
      </c>
      <c r="E8" s="14">
        <v>45890</v>
      </c>
      <c r="F8" t="s">
        <v>27</v>
      </c>
      <c r="G8" t="s">
        <v>29</v>
      </c>
      <c r="H8" s="14">
        <v>45884</v>
      </c>
      <c r="I8" t="s">
        <v>27</v>
      </c>
      <c r="J8" t="s">
        <v>29</v>
      </c>
      <c r="K8" t="s">
        <v>130</v>
      </c>
      <c r="L8" t="s">
        <v>131</v>
      </c>
      <c r="M8" t="s">
        <v>132</v>
      </c>
      <c r="N8" t="s">
        <v>133</v>
      </c>
      <c r="O8" t="s">
        <v>134</v>
      </c>
      <c r="P8" t="s">
        <v>135</v>
      </c>
      <c r="Q8" t="s">
        <v>93</v>
      </c>
      <c r="R8" t="s">
        <v>94</v>
      </c>
      <c r="S8">
        <v>1</v>
      </c>
      <c r="T8">
        <v>1</v>
      </c>
      <c r="U8">
        <v>1</v>
      </c>
      <c r="V8">
        <v>35000</v>
      </c>
      <c r="W8">
        <v>35000</v>
      </c>
      <c r="X8">
        <v>0</v>
      </c>
      <c r="Y8">
        <v>35000</v>
      </c>
      <c r="Z8">
        <v>1672407.12</v>
      </c>
      <c r="AA8">
        <v>2229876.1598999999</v>
      </c>
      <c r="AB8">
        <v>2.0899999999999998E-2</v>
      </c>
      <c r="AC8">
        <v>4.1799999999999997E-2</v>
      </c>
      <c r="AD8">
        <v>495538.26638477802</v>
      </c>
      <c r="AE8">
        <v>16</v>
      </c>
      <c r="AF8">
        <v>17</v>
      </c>
      <c r="AG8">
        <v>35000</v>
      </c>
      <c r="AH8">
        <v>0</v>
      </c>
      <c r="AI8">
        <v>731.5</v>
      </c>
      <c r="AJ8">
        <v>0</v>
      </c>
    </row>
    <row r="9" spans="1:36" x14ac:dyDescent="0.25">
      <c r="A9" t="s">
        <v>51</v>
      </c>
      <c r="B9" t="s">
        <v>85</v>
      </c>
      <c r="C9" t="s">
        <v>28</v>
      </c>
      <c r="D9" t="s">
        <v>136</v>
      </c>
      <c r="E9" s="14">
        <v>45897</v>
      </c>
      <c r="F9" t="s">
        <v>27</v>
      </c>
      <c r="G9" t="s">
        <v>29</v>
      </c>
      <c r="H9" s="14">
        <v>45895</v>
      </c>
      <c r="I9" t="s">
        <v>27</v>
      </c>
      <c r="J9" t="s">
        <v>29</v>
      </c>
      <c r="K9" t="s">
        <v>137</v>
      </c>
      <c r="L9" t="s">
        <v>138</v>
      </c>
      <c r="M9" t="s">
        <v>139</v>
      </c>
      <c r="N9" t="s">
        <v>140</v>
      </c>
      <c r="O9" t="s">
        <v>141</v>
      </c>
      <c r="P9" t="s">
        <v>142</v>
      </c>
      <c r="Q9" t="s">
        <v>93</v>
      </c>
      <c r="R9" t="s">
        <v>94</v>
      </c>
      <c r="S9">
        <v>1</v>
      </c>
      <c r="T9">
        <v>1</v>
      </c>
      <c r="U9">
        <v>1</v>
      </c>
      <c r="V9">
        <v>35000</v>
      </c>
      <c r="W9">
        <v>35000</v>
      </c>
      <c r="X9">
        <v>0</v>
      </c>
      <c r="Y9">
        <v>35000</v>
      </c>
      <c r="Z9">
        <v>1672407.12</v>
      </c>
      <c r="AA9">
        <v>2229876.1598999999</v>
      </c>
      <c r="AB9">
        <v>2.0899999999999998E-2</v>
      </c>
      <c r="AC9">
        <v>4.1799999999999997E-2</v>
      </c>
      <c r="AD9">
        <v>530538.26638477796</v>
      </c>
      <c r="AE9">
        <v>23</v>
      </c>
      <c r="AF9">
        <v>18</v>
      </c>
      <c r="AG9">
        <v>35000</v>
      </c>
      <c r="AH9">
        <v>0</v>
      </c>
      <c r="AI9">
        <v>731.5</v>
      </c>
      <c r="AJ9">
        <v>0</v>
      </c>
    </row>
    <row r="10" spans="1:36" x14ac:dyDescent="0.25">
      <c r="A10" t="s">
        <v>51</v>
      </c>
      <c r="B10" t="s">
        <v>85</v>
      </c>
      <c r="C10" t="s">
        <v>28</v>
      </c>
      <c r="D10" t="s">
        <v>110</v>
      </c>
      <c r="E10" s="14">
        <v>45898</v>
      </c>
      <c r="F10" t="s">
        <v>27</v>
      </c>
      <c r="G10" t="s">
        <v>29</v>
      </c>
      <c r="H10" s="14">
        <v>45895</v>
      </c>
      <c r="I10" t="s">
        <v>27</v>
      </c>
      <c r="J10" t="s">
        <v>29</v>
      </c>
      <c r="K10" t="s">
        <v>143</v>
      </c>
      <c r="L10" t="s">
        <v>144</v>
      </c>
      <c r="M10" t="s">
        <v>145</v>
      </c>
      <c r="N10" t="s">
        <v>146</v>
      </c>
      <c r="O10" t="s">
        <v>147</v>
      </c>
      <c r="P10" t="s">
        <v>148</v>
      </c>
      <c r="Q10" t="s">
        <v>93</v>
      </c>
      <c r="R10" t="s">
        <v>94</v>
      </c>
      <c r="S10">
        <v>1</v>
      </c>
      <c r="T10">
        <v>1</v>
      </c>
      <c r="U10">
        <v>1</v>
      </c>
      <c r="V10">
        <v>35000</v>
      </c>
      <c r="W10">
        <v>35000</v>
      </c>
      <c r="X10">
        <v>0</v>
      </c>
      <c r="Y10">
        <v>35000</v>
      </c>
      <c r="Z10">
        <v>1672407.12</v>
      </c>
      <c r="AA10">
        <v>2229876.1598999999</v>
      </c>
      <c r="AB10">
        <v>2.0899999999999998E-2</v>
      </c>
      <c r="AC10">
        <v>4.1799999999999997E-2</v>
      </c>
      <c r="AD10">
        <v>565538.26638477796</v>
      </c>
      <c r="AE10">
        <v>24</v>
      </c>
      <c r="AF10">
        <v>19</v>
      </c>
      <c r="AG10">
        <v>35000</v>
      </c>
      <c r="AH10">
        <v>0</v>
      </c>
      <c r="AI10">
        <v>731.5</v>
      </c>
      <c r="AJ10">
        <v>0</v>
      </c>
    </row>
  </sheetData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7eff0eb1-075c-4ae5-b77d-0819b1b25be5}" enabled="1" method="Standard" siteId="{a28e9437-6344-4b20-a381-b537222b18c3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payout</vt:lpstr>
      <vt:lpstr>info</vt:lpstr>
      <vt:lpstr>detail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Alan Sorensen</dc:creator>
  <cp:lastModifiedBy>Alan Sorensen</cp:lastModifiedBy>
  <cp:lastPrinted>2024-06-11T23:23:35Z</cp:lastPrinted>
  <dcterms:created xsi:type="dcterms:W3CDTF">2015-06-05T18:17:20Z</dcterms:created>
  <dcterms:modified xsi:type="dcterms:W3CDTF">2025-09-19T19:19:27Z</dcterms:modified>
</cp:coreProperties>
</file>