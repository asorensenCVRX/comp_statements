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3350" yWindow="4800" windowWidth="28770" windowHeight="15450" tabRatio="600" firstSheet="0" activeTab="0" autoFilterDateGrouping="1"/>
  </bookViews>
  <sheets>
    <sheet name="STATEMENT" sheetId="1" state="visible" r:id="rId1"/>
    <sheet name="payout" sheetId="2" state="visible" r:id="rId2"/>
    <sheet name="info" sheetId="3" state="visible" r:id="rId3"/>
    <sheet name="detai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"/>
    <numFmt numFmtId="166" formatCode="yyyy\-mm\-dd\ hh:mm:ss"/>
    <numFmt numFmtId="167" formatCode="YYYY-MM-DD HH:MM:SS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000E3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4" fontId="1" fillId="0" borderId="0"/>
    <xf numFmtId="9" fontId="1" fillId="0" borderId="0"/>
  </cellStyleXfs>
  <cellXfs count="4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3" pivotButton="0" quotePrefix="0" xfId="0"/>
    <xf numFmtId="164" fontId="2" fillId="0" borderId="4" applyAlignment="1" pivotButton="0" quotePrefix="0" xfId="0">
      <alignment horizontal="center"/>
    </xf>
    <xf numFmtId="0" fontId="5" fillId="0" borderId="0" pivotButton="0" quotePrefix="0" xfId="0"/>
    <xf numFmtId="164" fontId="2" fillId="0" borderId="4" applyAlignment="1" pivotButton="0" quotePrefix="0" xfId="1">
      <alignment horizontal="center"/>
    </xf>
    <xf numFmtId="164" fontId="3" fillId="3" borderId="10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165" fontId="2" fillId="0" borderId="5" applyAlignment="1" pivotButton="0" quotePrefix="0" xfId="1">
      <alignment horizontal="center"/>
    </xf>
    <xf numFmtId="0" fontId="3" fillId="0" borderId="15" pivotButton="0" quotePrefix="0" xfId="0"/>
    <xf numFmtId="164" fontId="2" fillId="0" borderId="10" applyAlignment="1" pivotButton="0" quotePrefix="0" xfId="0">
      <alignment horizontal="center"/>
    </xf>
    <xf numFmtId="164" fontId="2" fillId="0" borderId="4" applyAlignment="1" pivotButton="0" quotePrefix="0" xfId="2">
      <alignment horizontal="center"/>
    </xf>
    <xf numFmtId="164" fontId="2" fillId="0" borderId="16" applyAlignment="1" pivotButton="0" quotePrefix="0" xfId="0">
      <alignment horizontal="center"/>
    </xf>
    <xf numFmtId="0" fontId="4" fillId="4" borderId="20" applyAlignment="1" pivotButton="0" quotePrefix="0" xfId="0">
      <alignment horizontal="center"/>
    </xf>
    <xf numFmtId="166" fontId="0" fillId="0" borderId="0" pivotButton="0" quotePrefix="0" xfId="0"/>
    <xf numFmtId="164" fontId="2" fillId="0" borderId="0" applyAlignment="1" pivotButton="0" quotePrefix="0" xfId="0">
      <alignment horizontal="center"/>
    </xf>
    <xf numFmtId="164" fontId="2" fillId="0" borderId="23" applyAlignment="1" pivotButton="0" quotePrefix="0" xfId="0">
      <alignment horizontal="center"/>
    </xf>
    <xf numFmtId="0" fontId="3" fillId="0" borderId="21" applyAlignment="1" pivotButton="0" quotePrefix="0" xfId="0">
      <alignment horizontal="left"/>
    </xf>
    <xf numFmtId="0" fontId="0" fillId="0" borderId="7" pivotButton="0" quotePrefix="0" xfId="0"/>
    <xf numFmtId="0" fontId="3" fillId="0" borderId="15" applyAlignment="1" pivotButton="0" quotePrefix="0" xfId="0">
      <alignment horizontal="left"/>
    </xf>
    <xf numFmtId="0" fontId="0" fillId="0" borderId="14" pivotButton="0" quotePrefix="0" xfId="0"/>
    <xf numFmtId="0" fontId="7" fillId="0" borderId="25" applyAlignment="1" pivotButton="0" quotePrefix="0" xfId="0">
      <alignment horizontal="center" vertical="top"/>
    </xf>
    <xf numFmtId="0" fontId="4" fillId="4" borderId="18" applyAlignment="1" pivotButton="0" quotePrefix="0" xfId="0">
      <alignment horizontal="center"/>
    </xf>
    <xf numFmtId="0" fontId="0" fillId="0" borderId="18" pivotButton="0" quotePrefix="0" xfId="0"/>
    <xf numFmtId="0" fontId="3" fillId="0" borderId="15" applyAlignment="1" pivotButton="0" quotePrefix="0" xfId="0">
      <alignment horizontal="left"/>
    </xf>
    <xf numFmtId="0" fontId="0" fillId="0" borderId="14" pivotButton="0" quotePrefix="0" xfId="0"/>
    <xf numFmtId="0" fontId="2" fillId="0" borderId="5" applyAlignment="1" pivotButton="0" quotePrefix="0" xfId="0">
      <alignment horizontal="left"/>
    </xf>
    <xf numFmtId="0" fontId="0" fillId="0" borderId="6" pivotButton="0" quotePrefix="0" xfId="0"/>
    <xf numFmtId="0" fontId="2" fillId="0" borderId="5" applyAlignment="1" pivotButton="0" quotePrefix="0" xfId="0">
      <alignment horizontal="center"/>
    </xf>
    <xf numFmtId="0" fontId="4" fillId="2" borderId="1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4" fillId="2" borderId="5" applyAlignment="1" pivotButton="0" quotePrefix="0" xfId="0">
      <alignment horizontal="center" vertical="center"/>
    </xf>
    <xf numFmtId="0" fontId="0" fillId="0" borderId="11" pivotButton="0" quotePrefix="0" xfId="0"/>
    <xf numFmtId="0" fontId="3" fillId="0" borderId="3" pivotButton="0" quotePrefix="0" xfId="0"/>
    <xf numFmtId="0" fontId="3" fillId="0" borderId="24" applyAlignment="1" pivotButton="0" quotePrefix="0" xfId="0">
      <alignment horizontal="left" wrapText="1"/>
    </xf>
    <xf numFmtId="0" fontId="0" fillId="0" borderId="22" pivotButton="0" quotePrefix="0" xfId="0"/>
    <xf numFmtId="0" fontId="6" fillId="0" borderId="8" pivotButton="0" quotePrefix="0" xfId="0"/>
    <xf numFmtId="0" fontId="0" fillId="0" borderId="13" pivotButton="0" quotePrefix="0" xfId="0"/>
    <xf numFmtId="0" fontId="4" fillId="4" borderId="19" applyAlignment="1" pivotButton="0" quotePrefix="0" xfId="0">
      <alignment horizontal="center"/>
    </xf>
    <xf numFmtId="0" fontId="0" fillId="0" borderId="17" pivotButton="0" quotePrefix="0" xfId="0"/>
    <xf numFmtId="165" fontId="6" fillId="0" borderId="9" applyAlignment="1" pivotButton="0" quotePrefix="0" xfId="0">
      <alignment horizontal="center"/>
    </xf>
    <xf numFmtId="0" fontId="8" fillId="0" borderId="31" applyAlignment="1" pivotButton="0" quotePrefix="0" xfId="0">
      <alignment horizontal="center" vertical="top"/>
    </xf>
    <xf numFmtId="167" fontId="0" fillId="0" borderId="0" pivotButton="0" quotePrefix="0" xfId="0"/>
    <xf numFmtId="167" fontId="0" fillId="0" borderId="0" pivotButton="0" quotePrefix="0" xfId="0"/>
  </cellXfs>
  <cellStyles count="3">
    <cellStyle name="Normal" xfId="0" builtinId="0"/>
    <cellStyle name="Currency" xfId="1" builtinId="4"/>
    <cellStyle name="Percent" xfId="2" builtinId="5"/>
  </cellStyles>
  <dxfs count="1"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5</col>
      <colOff>1104900</colOff>
      <row>1</row>
      <rowOff>104775</rowOff>
    </from>
    <to>
      <col>6</col>
      <colOff>848583</colOff>
      <row>3</row>
      <rowOff>180478</rowOff>
    </to>
    <pic>
      <nvPicPr>
        <cNvPr id="3" name="Picture 2" descr="A picture containing text, sign, dark&#10;&#10;Description automatically generated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924425" y="304800"/>
          <a:ext cx="938118" cy="327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>
    <outlinePr summaryBelow="1" summaryRight="1"/>
    <pageSetUpPr/>
  </sheetPr>
  <dimension ref="A2:G47"/>
  <sheetViews>
    <sheetView showGridLines="0" tabSelected="1" workbookViewId="0">
      <selection activeCell="G16" sqref="G16"/>
    </sheetView>
  </sheetViews>
  <sheetFormatPr baseColWidth="8" defaultRowHeight="15.75"/>
  <cols>
    <col width="0.7109375" customWidth="1" style="1" min="1" max="1"/>
    <col width="19.5703125" customWidth="1" style="1" min="2" max="2"/>
    <col width="13.7109375" customWidth="1" style="1" min="3" max="3"/>
    <col width="11.85546875" customWidth="1" style="1" min="4" max="4"/>
    <col width="8.42578125" bestFit="1" customWidth="1" style="1" min="5" max="5"/>
    <col width="17.85546875" customWidth="1" style="1" min="6" max="6"/>
    <col width="14.7109375" customWidth="1" style="1" min="7" max="7"/>
  </cols>
  <sheetData>
    <row r="1" ht="4.15" customHeight="1"/>
    <row r="2">
      <c r="B2" s="2" t="inlineStr">
        <is>
          <t xml:space="preserve">CVRx US Sales Incentive Compensation Statement </t>
        </is>
      </c>
    </row>
    <row r="3" ht="4.15" customHeight="1"/>
    <row r="4">
      <c r="B4" s="2">
        <f>info!B2 &amp; " " &amp; info!B3</f>
        <v/>
      </c>
    </row>
    <row r="5">
      <c r="B5" s="2">
        <f>info!B6</f>
        <v/>
      </c>
    </row>
    <row r="6">
      <c r="B6" s="2">
        <f>info!B7 &amp; " 2025"</f>
        <v/>
      </c>
    </row>
    <row r="7" ht="4.15" customHeight="1"/>
    <row r="8" ht="4.15" customHeight="1" thickBot="1"/>
    <row r="9">
      <c r="B9" s="31" t="inlineStr">
        <is>
          <t>Sales Performance</t>
        </is>
      </c>
      <c r="C9" s="33" t="n"/>
      <c r="D9" s="3" t="n"/>
      <c r="E9" s="31" t="inlineStr">
        <is>
          <t>Final Payment</t>
        </is>
      </c>
      <c r="F9" s="32" t="n"/>
      <c r="G9" s="33" t="n"/>
    </row>
    <row r="10">
      <c r="B10" s="36" t="inlineStr">
        <is>
          <t>Level 1 Sales</t>
        </is>
      </c>
      <c r="C10" s="13">
        <f>_xlfn.XLOOKUP("L1_REV", payout!$G:$G, payout!$F:$F)</f>
        <v/>
      </c>
      <c r="E10" s="36" t="inlineStr">
        <is>
          <t>Level 1 Payout</t>
        </is>
      </c>
      <c r="F10" s="29" t="n"/>
      <c r="G10" s="7">
        <f>_xlfn.XLOOKUP("L1_PO", payout!G:G,payout!F:F)</f>
        <v/>
      </c>
    </row>
    <row r="11" ht="16.5" customHeight="1" thickBot="1">
      <c r="A11" s="6" t="n"/>
      <c r="B11" s="36" t="inlineStr">
        <is>
          <t>Level 2 Sales</t>
        </is>
      </c>
      <c r="C11" s="18">
        <f>_xlfn.XLOOKUP("L2_REV", payout!$G:$G, payout!$F:$F)</f>
        <v/>
      </c>
      <c r="E11" s="36" t="inlineStr">
        <is>
          <t>Level 2 Payout</t>
        </is>
      </c>
      <c r="F11" s="29" t="n"/>
      <c r="G11" s="7">
        <f>_xlfn.XLOOKUP("L2_PO",payout!G:G,payout!F:F)</f>
        <v/>
      </c>
    </row>
    <row r="12" ht="16.5" customHeight="1" thickBot="1" thickTop="1">
      <c r="A12" s="6" t="n"/>
      <c r="B12" s="11" t="inlineStr">
        <is>
          <t>Total Sales</t>
        </is>
      </c>
      <c r="C12" s="12">
        <f>SUM(C9:C11)</f>
        <v/>
      </c>
      <c r="E12" s="26" t="inlineStr">
        <is>
          <t>Subtotal</t>
        </is>
      </c>
      <c r="F12" s="27" t="n"/>
      <c r="G12" s="14">
        <f>SUM(G9:G11)</f>
        <v/>
      </c>
    </row>
    <row r="13" ht="17.25" customHeight="1" thickTop="1">
      <c r="B13" s="2" t="n"/>
      <c r="C13" s="17" t="n"/>
      <c r="E13" s="37" t="inlineStr">
        <is>
          <t>Other Adjustments</t>
        </is>
      </c>
      <c r="F13" s="38" t="n"/>
      <c r="G13" s="5">
        <f>IFERROR(_xlfn.XLOOKUP("ADJUSTMENTS", payout!G:G,payout!F:F), 0) + IFERROR(_xlfn.XLOOKUP("SPIFF_PO", payout!G:G,payout!F:F), 0)</f>
        <v/>
      </c>
    </row>
    <row r="14" ht="15.75" customHeight="1" thickBot="1">
      <c r="D14" s="6">
        <f>IF(G14&gt;0, 1, 0)</f>
        <v/>
      </c>
      <c r="E14" s="19" t="inlineStr">
        <is>
          <t>Guarantee Adjustment</t>
        </is>
      </c>
      <c r="F14" s="20" t="n"/>
      <c r="G14" s="18">
        <f>IFERROR(_xlfn.XLOOKUP("GUARANTEE",payout!G:G,payout!F:F), 0)</f>
        <v/>
      </c>
    </row>
    <row r="15" ht="16.5" customHeight="1" thickBot="1" thickTop="1">
      <c r="D15" s="6">
        <f>IF(G15&gt;0, 1, 0)</f>
        <v/>
      </c>
      <c r="E15" s="26" t="inlineStr">
        <is>
          <t>Final Payout</t>
        </is>
      </c>
      <c r="F15" s="27" t="n"/>
      <c r="G15" s="8">
        <f>_xlfn.XLOOKUP("PO_AMT", payout!G:G,payout!F:F)</f>
        <v/>
      </c>
    </row>
    <row r="16" ht="17.25" customHeight="1" thickBot="1" thickTop="1">
      <c r="E16" s="39" t="inlineStr">
        <is>
          <t>YTD Payout</t>
        </is>
      </c>
      <c r="F16" s="40" t="n"/>
      <c r="G16" s="43">
        <f>_xlfn.XLOOKUP("YTD_PO", payout!G:G,payout!F:F)</f>
        <v/>
      </c>
    </row>
    <row r="17" ht="17.25" customHeight="1"/>
    <row r="19">
      <c r="B19" s="34" t="inlineStr">
        <is>
          <t xml:space="preserve">Opportunity Detail </t>
        </is>
      </c>
      <c r="C19" s="35" t="n"/>
      <c r="D19" s="35" t="n"/>
      <c r="E19" s="35" t="n"/>
      <c r="F19" s="35" t="n"/>
      <c r="G19" s="29" t="n"/>
    </row>
    <row r="20">
      <c r="B20" s="41" t="inlineStr">
        <is>
          <t>Account</t>
        </is>
      </c>
      <c r="C20" s="42" t="n"/>
      <c r="D20" s="24" t="inlineStr">
        <is>
          <t>Opp Name</t>
        </is>
      </c>
      <c r="E20" s="25" t="n"/>
      <c r="F20" s="15" t="inlineStr">
        <is>
          <t>Sales</t>
        </is>
      </c>
      <c r="G20" s="15" t="inlineStr">
        <is>
          <t>Units</t>
        </is>
      </c>
    </row>
    <row r="21">
      <c r="B21" s="28">
        <f>IF(LEN(detail!K2)&lt;1,"",detail!K2)</f>
        <v/>
      </c>
      <c r="C21" s="29" t="n"/>
      <c r="D21" s="30">
        <f>IF(LEN(detail!M2)&lt;1,"",detail!M2)</f>
        <v/>
      </c>
      <c r="E21" s="29" t="n"/>
      <c r="F21" s="10">
        <f>DOLLAR(IF(LEN(detail!V2)&lt;1,"",detail!V2), 0) &amp; IF(detail!W2 = 1, "*", "")</f>
        <v/>
      </c>
      <c r="G21" s="30">
        <f>IF(LEN(detail!U2)&lt;1,"",detail!U2)</f>
        <v/>
      </c>
    </row>
    <row r="22">
      <c r="B22" s="28">
        <f>IF(LEN(detail!K3)&lt;1,"",detail!K3)</f>
        <v/>
      </c>
      <c r="C22" s="29" t="n"/>
      <c r="D22" s="30">
        <f>IF(LEN(detail!M3)&lt;1,"",detail!M3)</f>
        <v/>
      </c>
      <c r="E22" s="29" t="n"/>
      <c r="F22" s="10">
        <f>DOLLAR(IF(LEN(detail!V3)&lt;1,"",detail!V3), 0) &amp; IF(detail!W3 = 1, "*", "")</f>
        <v/>
      </c>
      <c r="G22" s="30">
        <f>IF(LEN(detail!U3)&lt;1,"",detail!U3)</f>
        <v/>
      </c>
    </row>
    <row r="23">
      <c r="B23" s="28">
        <f>IF(LEN(detail!K4)&lt;1,"",detail!K4)</f>
        <v/>
      </c>
      <c r="C23" s="29" t="n"/>
      <c r="D23" s="30">
        <f>IF(LEN(detail!M4)&lt;1,"",detail!M4)</f>
        <v/>
      </c>
      <c r="E23" s="29" t="n"/>
      <c r="F23" s="10">
        <f>DOLLAR(IF(LEN(detail!V4)&lt;1,"",detail!V4), 0) &amp; IF(detail!W4 = 1, "*", "")</f>
        <v/>
      </c>
      <c r="G23" s="30">
        <f>IF(LEN(detail!U4)&lt;1,"",detail!U4)</f>
        <v/>
      </c>
    </row>
    <row r="24">
      <c r="B24" s="28">
        <f>IF(LEN(detail!K5)&lt;1,"",detail!K5)</f>
        <v/>
      </c>
      <c r="C24" s="29" t="n"/>
      <c r="D24" s="30">
        <f>IF(LEN(detail!M5)&lt;1,"",detail!M5)</f>
        <v/>
      </c>
      <c r="E24" s="29" t="n"/>
      <c r="F24" s="10">
        <f>DOLLAR(IF(LEN(detail!V5)&lt;1,"",detail!V5), 0) &amp; IF(detail!W5 = 1, "*", "")</f>
        <v/>
      </c>
      <c r="G24" s="30">
        <f>IF(LEN(detail!U5)&lt;1,"",detail!U5)</f>
        <v/>
      </c>
    </row>
    <row r="25">
      <c r="B25" s="28">
        <f>IF(LEN(detail!K6)&lt;1,"",detail!K6)</f>
        <v/>
      </c>
      <c r="C25" s="29" t="n"/>
      <c r="D25" s="30">
        <f>IF(LEN(detail!M6)&lt;1,"",detail!M6)</f>
        <v/>
      </c>
      <c r="E25" s="29" t="n"/>
      <c r="F25" s="10">
        <f>DOLLAR(IF(LEN(detail!V6)&lt;1,"",detail!V6), 0) &amp; IF(detail!W6 = 1, "*", "")</f>
        <v/>
      </c>
      <c r="G25" s="30">
        <f>IF(LEN(detail!U6)&lt;1,"",detail!U6)</f>
        <v/>
      </c>
    </row>
    <row r="26">
      <c r="B26" s="28">
        <f>IF(LEN(detail!K7)&lt;1,"",detail!K7)</f>
        <v/>
      </c>
      <c r="C26" s="29" t="n"/>
      <c r="D26" s="30">
        <f>IF(LEN(detail!M7)&lt;1,"",detail!M7)</f>
        <v/>
      </c>
      <c r="E26" s="29" t="n"/>
      <c r="F26" s="10">
        <f>DOLLAR(IF(LEN(detail!V7)&lt;1,"",detail!V7), 0) &amp; IF(detail!W7 = 1, "*", "")</f>
        <v/>
      </c>
      <c r="G26" s="30">
        <f>IF(LEN(detail!U7)&lt;1,"",detail!U7)</f>
        <v/>
      </c>
    </row>
    <row r="27">
      <c r="B27" s="28">
        <f>IF(LEN(detail!K8)&lt;1,"",detail!K8)</f>
        <v/>
      </c>
      <c r="C27" s="29" t="n"/>
      <c r="D27" s="30">
        <f>IF(LEN(detail!M8)&lt;1,"",detail!M8)</f>
        <v/>
      </c>
      <c r="E27" s="29" t="n"/>
      <c r="F27" s="10">
        <f>DOLLAR(IF(LEN(detail!V8)&lt;1,"",detail!V8), 0) &amp; IF(detail!W8 = 1, "*", "")</f>
        <v/>
      </c>
      <c r="G27" s="30">
        <f>IF(LEN(detail!U8)&lt;1,"",detail!U8)</f>
        <v/>
      </c>
    </row>
    <row r="28">
      <c r="B28" s="28">
        <f>IF(LEN(detail!K9)&lt;1,"",detail!K9)</f>
        <v/>
      </c>
      <c r="C28" s="29" t="n"/>
      <c r="D28" s="30">
        <f>IF(LEN(detail!M9)&lt;1,"",detail!M9)</f>
        <v/>
      </c>
      <c r="E28" s="29" t="n"/>
      <c r="F28" s="10">
        <f>DOLLAR(IF(LEN(detail!V9)&lt;1,"",detail!V9), 0) &amp; IF(detail!W9 = 1, "*", "")</f>
        <v/>
      </c>
      <c r="G28" s="30">
        <f>IF(LEN(detail!U9)&lt;1,"",detail!U9)</f>
        <v/>
      </c>
    </row>
    <row r="29">
      <c r="B29" s="28">
        <f>IF(LEN(detail!K10)&lt;1,"",detail!K10)</f>
        <v/>
      </c>
      <c r="C29" s="29" t="n"/>
      <c r="D29" s="30">
        <f>IF(LEN(detail!M10)&lt;1,"",detail!M10)</f>
        <v/>
      </c>
      <c r="E29" s="29" t="n"/>
      <c r="F29" s="10">
        <f>DOLLAR(IF(LEN(detail!V10)&lt;1,"",detail!V10), 0) &amp; IF(detail!W10 = 1, "*", "")</f>
        <v/>
      </c>
      <c r="G29" s="30">
        <f>IF(LEN(detail!U10)&lt;1,"",detail!U10)</f>
        <v/>
      </c>
    </row>
    <row r="30">
      <c r="B30" s="28">
        <f>IF(LEN(detail!K11)&lt;1,"",detail!K11)</f>
        <v/>
      </c>
      <c r="C30" s="29" t="n"/>
      <c r="D30" s="30">
        <f>IF(LEN(detail!M11)&lt;1,"",detail!M11)</f>
        <v/>
      </c>
      <c r="E30" s="29" t="n"/>
      <c r="F30" s="10">
        <f>DOLLAR(IF(LEN(detail!V11)&lt;1,"",detail!V11), 0) &amp; IF(detail!W11 = 1, "*", "")</f>
        <v/>
      </c>
      <c r="G30" s="30">
        <f>IF(LEN(detail!U11)&lt;1,"",detail!U11)</f>
        <v/>
      </c>
    </row>
    <row r="31">
      <c r="B31" s="28">
        <f>IF(LEN(detail!K12)&lt;1,"",detail!K12)</f>
        <v/>
      </c>
      <c r="C31" s="29" t="n"/>
      <c r="D31" s="30">
        <f>IF(LEN(detail!M12)&lt;1,"",detail!M12)</f>
        <v/>
      </c>
      <c r="E31" s="29" t="n"/>
      <c r="F31" s="10">
        <f>DOLLAR(IF(LEN(detail!V12)&lt;1,"",detail!V12), 0) &amp; IF(detail!W12 = 1, "*", "")</f>
        <v/>
      </c>
      <c r="G31" s="30">
        <f>IF(LEN(detail!U12)&lt;1,"",detail!U12)</f>
        <v/>
      </c>
    </row>
    <row r="32">
      <c r="B32" s="28">
        <f>IF(LEN(detail!K13)&lt;1,"",detail!K13)</f>
        <v/>
      </c>
      <c r="C32" s="29" t="n"/>
      <c r="D32" s="30">
        <f>IF(LEN(detail!M13)&lt;1,"",detail!M13)</f>
        <v/>
      </c>
      <c r="E32" s="29" t="n"/>
      <c r="F32" s="10">
        <f>DOLLAR(IF(LEN(detail!V13)&lt;1,"",detail!V13), 0) &amp; IF(detail!W13 = 1, "*", "")</f>
        <v/>
      </c>
      <c r="G32" s="30">
        <f>IF(LEN(detail!U13)&lt;1,"",detail!U13)</f>
        <v/>
      </c>
    </row>
    <row r="33">
      <c r="B33" s="28">
        <f>IF(LEN(detail!K14)&lt;1,"",detail!K14)</f>
        <v/>
      </c>
      <c r="C33" s="29" t="n"/>
      <c r="D33" s="30">
        <f>IF(LEN(detail!M14)&lt;1,"",detail!M14)</f>
        <v/>
      </c>
      <c r="E33" s="29" t="n"/>
      <c r="F33" s="10">
        <f>DOLLAR(IF(LEN(detail!V14)&lt;1,"",detail!V14), 0) &amp; IF(detail!W14 = 1, "*", "")</f>
        <v/>
      </c>
      <c r="G33" s="30">
        <f>IF(LEN(detail!U14)&lt;1,"",detail!U14)</f>
        <v/>
      </c>
    </row>
    <row r="34">
      <c r="B34" s="28">
        <f>IF(LEN(detail!K15)&lt;1,"",detail!K15)</f>
        <v/>
      </c>
      <c r="C34" s="29" t="n"/>
      <c r="D34" s="30">
        <f>IF(LEN(detail!M15)&lt;1,"",detail!M15)</f>
        <v/>
      </c>
      <c r="E34" s="29" t="n"/>
      <c r="F34" s="10">
        <f>DOLLAR(IF(LEN(detail!V15)&lt;1,"",detail!V15), 0) &amp; IF(detail!W15 = 1, "*", "")</f>
        <v/>
      </c>
      <c r="G34" s="30">
        <f>IF(LEN(detail!U15)&lt;1,"",detail!U15)</f>
        <v/>
      </c>
    </row>
    <row r="35">
      <c r="B35" s="28">
        <f>IF(LEN(detail!K16)&lt;1,"",detail!K16)</f>
        <v/>
      </c>
      <c r="C35" s="29" t="n"/>
      <c r="D35" s="30">
        <f>IF(LEN(detail!M16)&lt;1,"",detail!M16)</f>
        <v/>
      </c>
      <c r="E35" s="29" t="n"/>
      <c r="F35" s="10">
        <f>DOLLAR(IF(LEN(detail!V16)&lt;1,"",detail!V16), 0) &amp; IF(detail!W16 = 1, "*", "")</f>
        <v/>
      </c>
      <c r="G35" s="30">
        <f>IF(LEN(detail!U16)&lt;1,"",detail!U16)</f>
        <v/>
      </c>
    </row>
    <row r="36">
      <c r="B36" s="28">
        <f>IF(LEN(detail!K17)&lt;1,"",detail!K17)</f>
        <v/>
      </c>
      <c r="C36" s="29" t="n"/>
      <c r="D36" s="30">
        <f>IF(LEN(detail!M17)&lt;1,"",detail!M17)</f>
        <v/>
      </c>
      <c r="E36" s="29" t="n"/>
      <c r="F36" s="10">
        <f>DOLLAR(IF(LEN(detail!V17)&lt;1,"",detail!V17), 0) &amp; IF(detail!W17 = 1, "*", "")</f>
        <v/>
      </c>
      <c r="G36" s="30">
        <f>IF(LEN(detail!U17)&lt;1,"",detail!U17)</f>
        <v/>
      </c>
    </row>
    <row r="37">
      <c r="B37" s="28">
        <f>IF(LEN(detail!K18)&lt;1,"",detail!K18)</f>
        <v/>
      </c>
      <c r="C37" s="29" t="n"/>
      <c r="D37" s="30">
        <f>IF(LEN(detail!M18)&lt;1,"",detail!M18)</f>
        <v/>
      </c>
      <c r="E37" s="29" t="n"/>
      <c r="F37" s="10">
        <f>DOLLAR(IF(LEN(detail!V18)&lt;1,"",detail!V18), 0) &amp; IF(detail!W18 = 1, "*", "")</f>
        <v/>
      </c>
      <c r="G37" s="30">
        <f>IF(LEN(detail!U18)&lt;1,"",detail!U18)</f>
        <v/>
      </c>
    </row>
    <row r="38">
      <c r="B38" s="28">
        <f>IF(LEN(detail!K19)&lt;1,"",detail!K19)</f>
        <v/>
      </c>
      <c r="C38" s="29" t="n"/>
      <c r="D38" s="30">
        <f>IF(LEN(detail!M19)&lt;1,"",detail!M19)</f>
        <v/>
      </c>
      <c r="E38" s="29" t="n"/>
      <c r="F38" s="10">
        <f>DOLLAR(IF(LEN(detail!V19)&lt;1,"",detail!V19), 0) &amp; IF(detail!W19 = 1, "*", "")</f>
        <v/>
      </c>
      <c r="G38" s="30">
        <f>IF(LEN(detail!U19)&lt;1,"",detail!U19)</f>
        <v/>
      </c>
    </row>
    <row r="39">
      <c r="B39" s="28">
        <f>IF(LEN(detail!K20)&lt;1,"",detail!K20)</f>
        <v/>
      </c>
      <c r="C39" s="29" t="n"/>
      <c r="D39" s="30">
        <f>IF(LEN(detail!M20)&lt;1,"",detail!M20)</f>
        <v/>
      </c>
      <c r="E39" s="29" t="n"/>
      <c r="F39" s="10">
        <f>DOLLAR(IF(LEN(detail!V20)&lt;1,"",detail!V20), 0) &amp; IF(detail!W20 = 1, "*", "")</f>
        <v/>
      </c>
      <c r="G39" s="30">
        <f>IF(LEN(detail!U20)&lt;1,"",detail!U20)</f>
        <v/>
      </c>
    </row>
    <row r="40">
      <c r="B40" s="28">
        <f>IF(LEN(detail!K21)&lt;1,"",detail!K21)</f>
        <v/>
      </c>
      <c r="C40" s="29" t="n"/>
      <c r="D40" s="30">
        <f>IF(LEN(detail!M21)&lt;1,"",detail!M21)</f>
        <v/>
      </c>
      <c r="E40" s="29" t="n"/>
      <c r="F40" s="10">
        <f>DOLLAR(IF(LEN(detail!V21)&lt;1,"",detail!V21), 0) &amp; IF(detail!W21 = 1, "*", "")</f>
        <v/>
      </c>
      <c r="G40" s="30">
        <f>IF(LEN(detail!U21)&lt;1,"",detail!U21)</f>
        <v/>
      </c>
    </row>
    <row r="41">
      <c r="B41" s="28">
        <f>IF(LEN(detail!K22)&lt;1,"",detail!K22)</f>
        <v/>
      </c>
      <c r="C41" s="29" t="n"/>
      <c r="D41" s="30">
        <f>IF(LEN(detail!M22)&lt;1,"",detail!M22)</f>
        <v/>
      </c>
      <c r="E41" s="29" t="n"/>
      <c r="F41" s="10">
        <f>DOLLAR(IF(LEN(detail!V22)&lt;1,"",detail!V22), 0) &amp; IF(detail!W22 = 1, "*", "")</f>
        <v/>
      </c>
      <c r="G41" s="30">
        <f>IF(LEN(detail!U22)&lt;1,"",detail!U22)</f>
        <v/>
      </c>
    </row>
    <row r="42">
      <c r="B42" s="28">
        <f>IF(LEN(detail!K23)&lt;1,"",detail!K23)</f>
        <v/>
      </c>
      <c r="C42" s="29" t="n"/>
      <c r="D42" s="30">
        <f>IF(LEN(detail!M23)&lt;1,"",detail!M23)</f>
        <v/>
      </c>
      <c r="E42" s="29" t="n"/>
      <c r="F42" s="10">
        <f>DOLLAR(IF(LEN(detail!V23)&lt;1,"",detail!V23), 0) &amp; IF(detail!W23 = 1, "*", "")</f>
        <v/>
      </c>
      <c r="G42" s="30">
        <f>IF(LEN(detail!U23)&lt;1,"",detail!U23)</f>
        <v/>
      </c>
    </row>
    <row r="43">
      <c r="B43" s="28">
        <f>IF(LEN(detail!K24)&lt;1,"",detail!K24)</f>
        <v/>
      </c>
      <c r="C43" s="29" t="n"/>
      <c r="D43" s="30">
        <f>IF(LEN(detail!M24)&lt;1,"",detail!M24)</f>
        <v/>
      </c>
      <c r="E43" s="29" t="n"/>
      <c r="F43" s="10">
        <f>DOLLAR(IF(LEN(detail!V24)&lt;1,"",detail!V24), 0) &amp; IF(detail!W24 = 1, "*", "")</f>
        <v/>
      </c>
      <c r="G43" s="30">
        <f>IF(LEN(detail!U24)&lt;1,"",detail!U24)</f>
        <v/>
      </c>
    </row>
    <row r="44">
      <c r="B44" s="28">
        <f>IF(LEN(detail!K25)&lt;1,"",detail!K25)</f>
        <v/>
      </c>
      <c r="C44" s="29" t="n"/>
      <c r="D44" s="30">
        <f>IF(LEN(detail!M25)&lt;1,"",detail!M25)</f>
        <v/>
      </c>
      <c r="E44" s="29" t="n"/>
      <c r="F44" s="10">
        <f>DOLLAR(IF(LEN(detail!V25)&lt;1,"",detail!V25), 0) &amp; IF(detail!W25 = 1, "*", "")</f>
        <v/>
      </c>
      <c r="G44" s="30">
        <f>IF(LEN(detail!U25)&lt;1,"",detail!U25)</f>
        <v/>
      </c>
    </row>
    <row r="45">
      <c r="B45" s="28">
        <f>IF(LEN(detail!K26)&lt;1,"",detail!K26)</f>
        <v/>
      </c>
      <c r="C45" s="29" t="n"/>
      <c r="D45" s="30">
        <f>IF(LEN(detail!M26)&lt;1,"",detail!M26)</f>
        <v/>
      </c>
      <c r="E45" s="29" t="n"/>
      <c r="F45" s="10">
        <f>DOLLAR(IF(LEN(detail!V26)&lt;1,"",detail!V26), 0) &amp; IF(detail!W26 = 1, "*", "")</f>
        <v/>
      </c>
      <c r="G45" s="30">
        <f>IF(LEN(detail!U26)&lt;1,"",detail!U26)</f>
        <v/>
      </c>
    </row>
    <row r="46">
      <c r="B46" s="28">
        <f>IF(LEN(detail!K27)&lt;1,"",detail!K27)</f>
        <v/>
      </c>
      <c r="C46" s="29" t="n"/>
      <c r="D46" s="30">
        <f>IF(LEN(detail!M27)&lt;1,"",detail!M27)</f>
        <v/>
      </c>
      <c r="E46" s="29" t="n"/>
      <c r="F46" s="10">
        <f>DOLLAR(IF(LEN(detail!V27)&lt;1,"",detail!V27), 0) &amp; IF(detail!W27 = 1, "*", "")</f>
        <v/>
      </c>
      <c r="G46" s="30">
        <f>IF(LEN(detail!U27)&lt;1,"",detail!U27)</f>
        <v/>
      </c>
    </row>
    <row r="47">
      <c r="B47" s="1" t="inlineStr">
        <is>
          <t>* An asterisk denotes that the opp includes a rebate</t>
        </is>
      </c>
    </row>
  </sheetData>
  <mergeCells count="62">
    <mergeCell ref="D20:E20"/>
    <mergeCell ref="E12:F12"/>
    <mergeCell ref="B25:C25"/>
    <mergeCell ref="D34:E34"/>
    <mergeCell ref="B46:C46"/>
    <mergeCell ref="B22:C22"/>
    <mergeCell ref="E9:G9"/>
    <mergeCell ref="D46:E46"/>
    <mergeCell ref="D22:E22"/>
    <mergeCell ref="D40:E40"/>
    <mergeCell ref="B31:C31"/>
    <mergeCell ref="B27:C27"/>
    <mergeCell ref="D31:E31"/>
    <mergeCell ref="D36:E36"/>
    <mergeCell ref="D45:E45"/>
    <mergeCell ref="B43:C43"/>
    <mergeCell ref="D21:E21"/>
    <mergeCell ref="B39:C39"/>
    <mergeCell ref="B19:G19"/>
    <mergeCell ref="B21:C21"/>
    <mergeCell ref="D44:E44"/>
    <mergeCell ref="E10:F10"/>
    <mergeCell ref="D27:E27"/>
    <mergeCell ref="B42:C42"/>
    <mergeCell ref="B23:C23"/>
    <mergeCell ref="D32:E32"/>
    <mergeCell ref="E13:F13"/>
    <mergeCell ref="D41:E41"/>
    <mergeCell ref="B44:C44"/>
    <mergeCell ref="B38:C38"/>
    <mergeCell ref="B29:C29"/>
    <mergeCell ref="D43:E43"/>
    <mergeCell ref="B34:C34"/>
    <mergeCell ref="B37:C37"/>
    <mergeCell ref="E11:F11"/>
    <mergeCell ref="D37:E37"/>
    <mergeCell ref="B28:C28"/>
    <mergeCell ref="D28:E28"/>
    <mergeCell ref="B40:C40"/>
    <mergeCell ref="B9:C9"/>
    <mergeCell ref="D39:E39"/>
    <mergeCell ref="D25:E25"/>
    <mergeCell ref="B24:C24"/>
    <mergeCell ref="B30:C30"/>
    <mergeCell ref="D24:E24"/>
    <mergeCell ref="D42:E42"/>
    <mergeCell ref="B33:C33"/>
    <mergeCell ref="E16:F16"/>
    <mergeCell ref="D33:E33"/>
    <mergeCell ref="D30:E30"/>
    <mergeCell ref="D29:E29"/>
    <mergeCell ref="B20:C20"/>
    <mergeCell ref="B45:C45"/>
    <mergeCell ref="D23:E23"/>
    <mergeCell ref="D38:E38"/>
    <mergeCell ref="B36:C36"/>
    <mergeCell ref="B32:C32"/>
    <mergeCell ref="B26:C26"/>
    <mergeCell ref="B41:C41"/>
    <mergeCell ref="D26:E26"/>
    <mergeCell ref="B35:C35"/>
    <mergeCell ref="D35:E35"/>
  </mergeCells>
  <conditionalFormatting sqref="B21:B46 D21:D46 F21:G46">
    <cfRule type="containsErrors" priority="1" dxfId="0">
      <formula>ISERROR(B21)</formula>
    </cfRule>
  </conditionalFormatting>
  <pageMargins left="0.7" right="0.7" top="0.75" bottom="0.75" header="0.3" footer="0.3"/>
  <pageSetup orientation="portrait" horizontalDpi="1200" verticalDpi="120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44" t="inlineStr">
        <is>
          <t>YYYYMM</t>
        </is>
      </c>
      <c r="B1" s="44" t="inlineStr">
        <is>
          <t>EID</t>
        </is>
      </c>
      <c r="C1" s="44" t="inlineStr">
        <is>
          <t>YYYYQQ</t>
        </is>
      </c>
      <c r="D1" s="44" t="inlineStr">
        <is>
          <t>ROLE</t>
        </is>
      </c>
      <c r="E1" s="44" t="inlineStr">
        <is>
          <t>STATUS</t>
        </is>
      </c>
      <c r="F1" s="44" t="inlineStr">
        <is>
          <t>VALUE</t>
        </is>
      </c>
      <c r="G1" s="44" t="inlineStr">
        <is>
          <t>CATEGORY</t>
        </is>
      </c>
      <c r="H1" s="44" t="inlineStr">
        <is>
          <t>Notes</t>
        </is>
      </c>
    </row>
    <row r="2">
      <c r="A2" t="inlineStr">
        <is>
          <t>2025_01</t>
        </is>
      </c>
      <c r="B2" t="inlineStr">
        <is>
          <t>scroxdale@cvrx.com</t>
        </is>
      </c>
      <c r="C2" t="inlineStr">
        <is>
          <t>2025_Q1</t>
        </is>
      </c>
      <c r="D2" t="inlineStr">
        <is>
          <t>ASD</t>
        </is>
      </c>
      <c r="E2" t="inlineStr">
        <is>
          <t>ACTIVE</t>
        </is>
      </c>
      <c r="F2" t="n">
        <v>63000</v>
      </c>
      <c r="G2" t="inlineStr">
        <is>
          <t>SALES</t>
        </is>
      </c>
    </row>
    <row r="3">
      <c r="A3" t="inlineStr">
        <is>
          <t>2025_01</t>
        </is>
      </c>
      <c r="B3" t="inlineStr">
        <is>
          <t>scroxdale@cvrx.com</t>
        </is>
      </c>
      <c r="C3" t="inlineStr">
        <is>
          <t>2025_Q1</t>
        </is>
      </c>
      <c r="D3" t="inlineStr">
        <is>
          <t>ASD</t>
        </is>
      </c>
      <c r="E3" t="inlineStr">
        <is>
          <t>ACTIVE</t>
        </is>
      </c>
      <c r="F3" t="n">
        <v>1316.7</v>
      </c>
      <c r="G3" t="inlineStr">
        <is>
          <t>L1_PO</t>
        </is>
      </c>
    </row>
    <row r="4">
      <c r="A4" t="inlineStr">
        <is>
          <t>2025_01</t>
        </is>
      </c>
      <c r="B4" t="inlineStr">
        <is>
          <t>scroxdale@cvrx.com</t>
        </is>
      </c>
      <c r="C4" t="inlineStr">
        <is>
          <t>2025_Q1</t>
        </is>
      </c>
      <c r="D4" t="inlineStr">
        <is>
          <t>ASD</t>
        </is>
      </c>
      <c r="E4" t="inlineStr">
        <is>
          <t>ACTIVE</t>
        </is>
      </c>
      <c r="F4" t="n">
        <v>0</v>
      </c>
      <c r="G4" t="inlineStr">
        <is>
          <t>L2_PO</t>
        </is>
      </c>
    </row>
    <row r="5">
      <c r="A5" t="inlineStr">
        <is>
          <t>2025_01</t>
        </is>
      </c>
      <c r="B5" t="inlineStr">
        <is>
          <t>scroxdale@cvrx.com</t>
        </is>
      </c>
      <c r="C5" t="inlineStr">
        <is>
          <t>2025_Q1</t>
        </is>
      </c>
      <c r="D5" t="inlineStr">
        <is>
          <t>ASD</t>
        </is>
      </c>
      <c r="E5" t="inlineStr">
        <is>
          <t>ACTIVE</t>
        </is>
      </c>
      <c r="F5" t="n">
        <v>63000</v>
      </c>
      <c r="G5" t="inlineStr">
        <is>
          <t>L1_REV</t>
        </is>
      </c>
    </row>
    <row r="6">
      <c r="A6" t="inlineStr">
        <is>
          <t>2025_01</t>
        </is>
      </c>
      <c r="B6" t="inlineStr">
        <is>
          <t>scroxdale@cvrx.com</t>
        </is>
      </c>
      <c r="C6" t="inlineStr">
        <is>
          <t>2025_Q1</t>
        </is>
      </c>
      <c r="D6" t="inlineStr">
        <is>
          <t>ASD</t>
        </is>
      </c>
      <c r="E6" t="inlineStr">
        <is>
          <t>ACTIVE</t>
        </is>
      </c>
      <c r="F6" t="n">
        <v>0</v>
      </c>
      <c r="G6" t="inlineStr">
        <is>
          <t>L2_REV</t>
        </is>
      </c>
    </row>
    <row r="7">
      <c r="A7" t="inlineStr">
        <is>
          <t>2025_01</t>
        </is>
      </c>
      <c r="B7" t="inlineStr">
        <is>
          <t>scroxdale@cvrx.com</t>
        </is>
      </c>
      <c r="C7" t="inlineStr">
        <is>
          <t>2025_Q1</t>
        </is>
      </c>
      <c r="D7" t="inlineStr">
        <is>
          <t>ASD</t>
        </is>
      </c>
      <c r="E7" t="inlineStr">
        <is>
          <t>ACTIVE</t>
        </is>
      </c>
      <c r="F7" t="n">
        <v>1316.7</v>
      </c>
      <c r="G7" t="inlineStr">
        <is>
          <t>TTL_PO</t>
        </is>
      </c>
    </row>
    <row r="8">
      <c r="A8" t="inlineStr">
        <is>
          <t>2025_01</t>
        </is>
      </c>
      <c r="B8" t="inlineStr">
        <is>
          <t>scroxdale@cvrx.com</t>
        </is>
      </c>
      <c r="C8" t="inlineStr">
        <is>
          <t>2025_Q1</t>
        </is>
      </c>
      <c r="D8" t="inlineStr">
        <is>
          <t>ASD</t>
        </is>
      </c>
      <c r="E8" t="inlineStr">
        <is>
          <t>ACTIVE</t>
        </is>
      </c>
      <c r="F8" t="n">
        <v>18750</v>
      </c>
      <c r="G8" t="inlineStr">
        <is>
          <t>GUARANTEE</t>
        </is>
      </c>
    </row>
    <row r="9">
      <c r="A9" t="inlineStr">
        <is>
          <t>2025_01</t>
        </is>
      </c>
      <c r="B9" t="inlineStr">
        <is>
          <t>scroxdale@cvrx.com</t>
        </is>
      </c>
      <c r="C9" t="inlineStr">
        <is>
          <t>2025_Q1</t>
        </is>
      </c>
      <c r="D9" t="inlineStr">
        <is>
          <t>ASD</t>
        </is>
      </c>
      <c r="E9" t="inlineStr">
        <is>
          <t>ACTIVE</t>
        </is>
      </c>
      <c r="F9" t="n">
        <v>18750</v>
      </c>
      <c r="G9" t="inlineStr">
        <is>
          <t>PO_AMT</t>
        </is>
      </c>
    </row>
    <row r="10">
      <c r="A10" t="inlineStr">
        <is>
          <t>2025_01</t>
        </is>
      </c>
      <c r="B10" t="inlineStr">
        <is>
          <t>scroxdale@cvrx.com</t>
        </is>
      </c>
      <c r="C10" t="inlineStr">
        <is>
          <t>2025_Q1</t>
        </is>
      </c>
      <c r="D10" t="inlineStr">
        <is>
          <t>ASD</t>
        </is>
      </c>
      <c r="E10" t="inlineStr">
        <is>
          <t>ACTIVE</t>
        </is>
      </c>
      <c r="F10" t="n">
        <v>2</v>
      </c>
      <c r="G10" t="inlineStr">
        <is>
          <t>REVENUE_UNITS</t>
        </is>
      </c>
    </row>
    <row r="11">
      <c r="A11" t="inlineStr">
        <is>
          <t>2025_01</t>
        </is>
      </c>
      <c r="B11" t="inlineStr">
        <is>
          <t>scroxdale@cvrx.com</t>
        </is>
      </c>
      <c r="C11" t="inlineStr">
        <is>
          <t>2025_Q1</t>
        </is>
      </c>
      <c r="D11" t="inlineStr">
        <is>
          <t>ASD</t>
        </is>
      </c>
      <c r="E11" t="inlineStr">
        <is>
          <t>ACTIVE</t>
        </is>
      </c>
      <c r="F11" t="n">
        <v>8</v>
      </c>
      <c r="G11" t="inlineStr">
        <is>
          <t>IMPLANT_UNITS</t>
        </is>
      </c>
    </row>
    <row r="12">
      <c r="A12" t="inlineStr">
        <is>
          <t>2025_01</t>
        </is>
      </c>
      <c r="B12" t="inlineStr">
        <is>
          <t>scroxdale@cvrx.com</t>
        </is>
      </c>
      <c r="C12" t="inlineStr">
        <is>
          <t>2025_Q1</t>
        </is>
      </c>
      <c r="D12" t="inlineStr">
        <is>
          <t>ASD</t>
        </is>
      </c>
      <c r="E12" t="inlineStr">
        <is>
          <t>ACTIVE</t>
        </is>
      </c>
      <c r="F12" t="n">
        <v>18750</v>
      </c>
      <c r="G12" t="inlineStr">
        <is>
          <t>YTD_PO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B7"/>
  <sheetViews>
    <sheetView workbookViewId="0">
      <selection activeCell="B6" sqref="B6"/>
    </sheetView>
  </sheetViews>
  <sheetFormatPr baseColWidth="8" defaultRowHeight="15"/>
  <cols>
    <col width="11.140625" bestFit="1" customWidth="1" min="1" max="1"/>
    <col width="23.7109375" bestFit="1" customWidth="1" min="2" max="2"/>
  </cols>
  <sheetData>
    <row r="1">
      <c r="A1" t="inlineStr">
        <is>
          <t>Name:</t>
        </is>
      </c>
      <c r="B1" t="inlineStr">
        <is>
          <t>Croxdale, Sean</t>
        </is>
      </c>
    </row>
    <row r="2">
      <c r="A2" t="inlineStr">
        <is>
          <t>First Name:</t>
        </is>
      </c>
      <c r="B2" t="inlineStr">
        <is>
          <t>Sean</t>
        </is>
      </c>
    </row>
    <row r="3">
      <c r="A3" t="inlineStr">
        <is>
          <t>Last Name:</t>
        </is>
      </c>
      <c r="B3" t="inlineStr">
        <is>
          <t>Croxdale</t>
        </is>
      </c>
    </row>
    <row r="4">
      <c r="A4" t="inlineStr">
        <is>
          <t>Email:</t>
        </is>
      </c>
      <c r="B4" t="inlineStr">
        <is>
          <t>scroxdale@cvrx.com</t>
        </is>
      </c>
    </row>
    <row r="5">
      <c r="A5" t="inlineStr">
        <is>
          <t>Territory:</t>
        </is>
      </c>
      <c r="B5" t="inlineStr">
        <is>
          <t>THE SYNDICATE</t>
        </is>
      </c>
    </row>
    <row r="6">
      <c r="A6" t="inlineStr">
        <is>
          <t>Role:</t>
        </is>
      </c>
      <c r="B6" t="inlineStr">
        <is>
          <t>Area Sales Director</t>
        </is>
      </c>
    </row>
    <row r="7">
      <c r="A7" t="inlineStr">
        <is>
          <t>Month:</t>
        </is>
      </c>
      <c r="B7" t="inlineStr">
        <is>
          <t>January</t>
        </is>
      </c>
    </row>
    <row r="22" ht="15.95" customHeight="1"/>
    <row r="23" ht="15.95" customHeight="1"/>
    <row r="24" ht="3.95" customHeight="1"/>
    <row r="25" ht="3.9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44" t="inlineStr">
        <is>
          <t>REGION_NM</t>
        </is>
      </c>
      <c r="B1" s="44" t="inlineStr">
        <is>
          <t>REGION_ID</t>
        </is>
      </c>
      <c r="C1" s="44" t="inlineStr">
        <is>
          <t>SALES_CREDIT_ASD_EMAIL</t>
        </is>
      </c>
      <c r="D1" s="44" t="inlineStr">
        <is>
          <t>SALES_CREDIT_REP_EMAIL</t>
        </is>
      </c>
      <c r="E1" s="44" t="inlineStr">
        <is>
          <t>CLOSEDATE</t>
        </is>
      </c>
      <c r="F1" s="44" t="inlineStr">
        <is>
          <t>CLOSE_YYYYMM</t>
        </is>
      </c>
      <c r="G1" s="44" t="inlineStr">
        <is>
          <t>CLOSE_YYYYQQ</t>
        </is>
      </c>
      <c r="H1" s="44" t="inlineStr">
        <is>
          <t>IMPLANTED_DT</t>
        </is>
      </c>
      <c r="I1" s="44" t="inlineStr">
        <is>
          <t>IMPLANTED_YYYYMM</t>
        </is>
      </c>
      <c r="J1" s="44" t="inlineStr">
        <is>
          <t>IMPLANTED_YYYYQQ</t>
        </is>
      </c>
      <c r="K1" s="44" t="inlineStr">
        <is>
          <t>ACCOUNT_INDICATION__C</t>
        </is>
      </c>
      <c r="L1" s="44" t="inlineStr">
        <is>
          <t>ACT_ID</t>
        </is>
      </c>
      <c r="M1" s="44" t="inlineStr">
        <is>
          <t>OPP_NAME</t>
        </is>
      </c>
      <c r="N1" s="44" t="inlineStr">
        <is>
          <t>OPP_ID</t>
        </is>
      </c>
      <c r="O1" s="44" t="inlineStr">
        <is>
          <t>PHYSICIAN</t>
        </is>
      </c>
      <c r="P1" s="44" t="inlineStr">
        <is>
          <t>PHYSICIAN_ID</t>
        </is>
      </c>
      <c r="Q1" s="44" t="inlineStr">
        <is>
          <t>INDICATION_FOR_USE__C</t>
        </is>
      </c>
      <c r="R1" s="44" t="inlineStr">
        <is>
          <t>REASON_FOR_IMPLANT__C</t>
        </is>
      </c>
      <c r="S1" s="44" t="inlineStr">
        <is>
          <t>ISIMPL</t>
        </is>
      </c>
      <c r="T1" s="44" t="inlineStr">
        <is>
          <t>IMPLANT_UNITS</t>
        </is>
      </c>
      <c r="U1" s="44" t="inlineStr">
        <is>
          <t>REVENUE_UNITS</t>
        </is>
      </c>
      <c r="V1" s="44" t="inlineStr">
        <is>
          <t>SALES</t>
        </is>
      </c>
      <c r="W1" s="44" t="inlineStr">
        <is>
          <t>REBATE?</t>
        </is>
      </c>
      <c r="X1" s="44" t="inlineStr">
        <is>
          <t>ASP</t>
        </is>
      </c>
      <c r="Y1" s="44" t="inlineStr">
        <is>
          <t>THRESHOLD</t>
        </is>
      </c>
      <c r="Z1" s="44" t="inlineStr">
        <is>
          <t>PLAN</t>
        </is>
      </c>
      <c r="AA1" s="44" t="inlineStr">
        <is>
          <t>L1 Rate</t>
        </is>
      </c>
      <c r="AB1" s="44" t="inlineStr">
        <is>
          <t>L2 Rate</t>
        </is>
      </c>
      <c r="AC1" s="44" t="inlineStr">
        <is>
          <t>QTD_SALES</t>
        </is>
      </c>
      <c r="AD1" s="44" t="inlineStr">
        <is>
          <t>QTD_IMPLANT_UNITS</t>
        </is>
      </c>
      <c r="AE1" s="44" t="inlineStr">
        <is>
          <t>QTD_REVENUE_UNITS</t>
        </is>
      </c>
      <c r="AF1" s="44" t="inlineStr">
        <is>
          <t>L1_REV</t>
        </is>
      </c>
      <c r="AG1" s="44" t="inlineStr">
        <is>
          <t>L2_REV</t>
        </is>
      </c>
      <c r="AH1" s="44" t="inlineStr">
        <is>
          <t>L1_PO</t>
        </is>
      </c>
      <c r="AI1" s="44" t="inlineStr">
        <is>
          <t>L2_PO</t>
        </is>
      </c>
    </row>
    <row r="2">
      <c r="A2" t="inlineStr">
        <is>
          <t>THE SYNDICATE</t>
        </is>
      </c>
      <c r="B2" t="inlineStr">
        <is>
          <t>RE_03</t>
        </is>
      </c>
      <c r="C2" t="inlineStr">
        <is>
          <t>scroxdale@cvrx.com</t>
        </is>
      </c>
      <c r="D2" t="inlineStr">
        <is>
          <t>jgonzalez@cvrx.com</t>
        </is>
      </c>
      <c r="E2" s="46" t="n">
        <v>45670</v>
      </c>
      <c r="F2" t="inlineStr">
        <is>
          <t>2025_01</t>
        </is>
      </c>
      <c r="G2" t="inlineStr">
        <is>
          <t>2025_Q1</t>
        </is>
      </c>
      <c r="H2" s="46" t="n">
        <v>45670</v>
      </c>
      <c r="I2" t="inlineStr">
        <is>
          <t>2025_01</t>
        </is>
      </c>
      <c r="J2" t="inlineStr">
        <is>
          <t>2025_Q1</t>
        </is>
      </c>
      <c r="K2" t="inlineStr">
        <is>
          <t>Hca Houston Hc Kingwood</t>
        </is>
      </c>
      <c r="L2" t="inlineStr">
        <is>
          <t>0014u00001pyZnXAAU</t>
        </is>
      </c>
      <c r="M2" t="inlineStr">
        <is>
          <t>CVR419 022507</t>
        </is>
      </c>
      <c r="N2" t="inlineStr">
        <is>
          <t>006UY00000FPLAHYA5</t>
        </is>
      </c>
      <c r="O2" t="inlineStr">
        <is>
          <t>Harsh Patel</t>
        </is>
      </c>
      <c r="P2" t="inlineStr">
        <is>
          <t>003UY00000JFGZNYA5</t>
        </is>
      </c>
      <c r="Q2" t="inlineStr">
        <is>
          <t>Heart Failure - Reduced Ejection Fraction</t>
        </is>
      </c>
      <c r="R2" t="inlineStr">
        <is>
          <t>De novo</t>
        </is>
      </c>
      <c r="S2" t="n">
        <v>1</v>
      </c>
      <c r="T2" t="n">
        <v>1</v>
      </c>
      <c r="U2" t="n">
        <v>1</v>
      </c>
      <c r="V2" t="n">
        <v>28000</v>
      </c>
      <c r="W2" t="n">
        <v>1</v>
      </c>
      <c r="X2" t="n">
        <v>28000</v>
      </c>
      <c r="Y2" t="n">
        <v>1449356.9349</v>
      </c>
      <c r="Z2" t="n">
        <v>1932475.9134</v>
      </c>
      <c r="AA2" t="n">
        <v>0.0209</v>
      </c>
      <c r="AB2" t="n">
        <v>0.0418</v>
      </c>
      <c r="AC2" t="n">
        <v>28000</v>
      </c>
      <c r="AD2" t="n">
        <v>1</v>
      </c>
      <c r="AE2" t="n">
        <v>1</v>
      </c>
      <c r="AF2" t="n">
        <v>28000</v>
      </c>
      <c r="AG2" t="n">
        <v>0</v>
      </c>
      <c r="AH2" t="n">
        <v>585.1999999999999</v>
      </c>
      <c r="AI2" t="n">
        <v>0</v>
      </c>
    </row>
    <row r="3">
      <c r="A3" t="inlineStr">
        <is>
          <t>THE SYNDICATE</t>
        </is>
      </c>
      <c r="B3" t="inlineStr">
        <is>
          <t>RE_03</t>
        </is>
      </c>
      <c r="C3" t="inlineStr">
        <is>
          <t>scroxdale@cvrx.com</t>
        </is>
      </c>
      <c r="D3" t="inlineStr">
        <is>
          <t>jgonzalez@cvrx.com</t>
        </is>
      </c>
      <c r="E3" s="46" t="n">
        <v>45684</v>
      </c>
      <c r="F3" t="inlineStr">
        <is>
          <t>2025_01</t>
        </is>
      </c>
      <c r="G3" t="inlineStr">
        <is>
          <t>2025_Q1</t>
        </is>
      </c>
      <c r="H3" s="46" t="n">
        <v>45680</v>
      </c>
      <c r="I3" t="inlineStr">
        <is>
          <t>2025_01</t>
        </is>
      </c>
      <c r="J3" t="inlineStr">
        <is>
          <t>2025_Q1</t>
        </is>
      </c>
      <c r="K3" t="inlineStr">
        <is>
          <t>Methodist Hospital-Houston Methodist</t>
        </is>
      </c>
      <c r="L3" t="inlineStr">
        <is>
          <t>0017000001Lsj1MAAR</t>
        </is>
      </c>
      <c r="M3" t="inlineStr">
        <is>
          <t>IAH01 022315</t>
        </is>
      </c>
      <c r="N3" t="inlineStr">
        <is>
          <t>006UY00000F0g1qYAB</t>
        </is>
      </c>
      <c r="O3" t="inlineStr">
        <is>
          <t>Barry Trachtenberg</t>
        </is>
      </c>
      <c r="P3" t="inlineStr">
        <is>
          <t>0034u00002ZgAq7AAF</t>
        </is>
      </c>
      <c r="Q3" t="inlineStr">
        <is>
          <t>Heart Failure - Reduced Ejection Fraction</t>
        </is>
      </c>
      <c r="R3" t="inlineStr">
        <is>
          <t>De novo</t>
        </is>
      </c>
      <c r="S3" t="n">
        <v>1</v>
      </c>
      <c r="T3" t="n">
        <v>1</v>
      </c>
      <c r="U3" t="n">
        <v>1</v>
      </c>
      <c r="V3" t="n">
        <v>35000</v>
      </c>
      <c r="W3" t="n">
        <v>0</v>
      </c>
      <c r="X3" t="n">
        <v>35000</v>
      </c>
      <c r="Y3" t="n">
        <v>1449356.9349</v>
      </c>
      <c r="Z3" t="n">
        <v>1932475.9134</v>
      </c>
      <c r="AA3" t="n">
        <v>0.0209</v>
      </c>
      <c r="AB3" t="n">
        <v>0.0418</v>
      </c>
      <c r="AC3" t="n">
        <v>63000</v>
      </c>
      <c r="AD3" t="n">
        <v>4</v>
      </c>
      <c r="AE3" t="n">
        <v>2</v>
      </c>
      <c r="AF3" t="n">
        <v>35000</v>
      </c>
      <c r="AG3" t="n">
        <v>0</v>
      </c>
      <c r="AH3" t="n">
        <v>731.5</v>
      </c>
      <c r="AI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Alan Sorensen</dc:creator>
  <dcterms:created xsi:type="dcterms:W3CDTF">2015-06-05T18:17:20Z</dcterms:created>
  <dcterms:modified xsi:type="dcterms:W3CDTF">2025-02-19T22:08:10Z</dcterms:modified>
  <cp:lastModifiedBy>Alan Sorensen</cp:lastModifiedBy>
  <cp:lastPrinted>2024-06-11T23:23:35Z</cp:lastPrinted>
</cp:coreProperties>
</file>